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xr:revisionPtr revIDLastSave="0" documentId="13_ncr:1_{C70EE107-7BDD-47EE-AD05-A04C5CF5EBFF}" xr6:coauthVersionLast="47" xr6:coauthVersionMax="47" xr10:uidLastSave="{00000000-0000-0000-0000-000000000000}"/>
  <bookViews>
    <workbookView xWindow="38280" yWindow="1620" windowWidth="29040" windowHeight="15720" firstSheet="0" activeTab="0" xr2:uid="{00000000-000D-0000-FFFF-FFFF00000000}"/>
  </bookViews>
  <sheets>
    <sheet name="De nghi thanh toan" sheetId="1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<sst xmlns="http://schemas.openxmlformats.org/spreadsheetml/2006/main" count="217" uniqueCount="149">
  <si>
    <t xml:space="preserve">  </t>
  </si>
  <si>
    <r>
      <t xml:space="preserve">Duyệt chi (nếu có)/ </t>
    </r>
    <r>
      <rPr>
        <i/>
        <sz val="11"/>
        <rFont val="Times New Roman"/>
        <family val="1"/>
      </rPr>
      <t>Approval for additional amount (if any):</t>
    </r>
  </si>
  <si>
    <t>Date…../….../……</t>
  </si>
  <si>
    <r>
      <rPr>
        <sz val="8"/>
        <rFont val="Times New Roman"/>
        <family val="1"/>
      </rPr>
      <t>Date</t>
    </r>
    <r>
      <rPr>
        <sz val="10"/>
        <rFont val="Times New Roman"/>
        <family val="1"/>
      </rPr>
      <t>…../….../…...</t>
    </r>
  </si>
  <si>
    <t>Chief Accountant</t>
  </si>
  <si>
    <t>Requester</t>
  </si>
  <si>
    <t>Giám đốc</t>
  </si>
  <si>
    <t>Kế toán trưởng</t>
  </si>
  <si>
    <t>Người đề nghị</t>
  </si>
  <si>
    <r>
      <t xml:space="preserve">Tổng cộng/ </t>
    </r>
    <r>
      <rPr>
        <b/>
        <i/>
        <sz val="11"/>
        <rFont val="Times New Roman"/>
        <family val="1"/>
      </rPr>
      <t>Total</t>
    </r>
  </si>
  <si>
    <t>x</t>
  </si>
  <si>
    <r>
      <t xml:space="preserve">Sao/ </t>
    </r>
    <r>
      <rPr>
        <b/>
        <i/>
        <sz val="11"/>
        <rFont val="Times New Roman"/>
        <family val="1"/>
      </rPr>
      <t>Copied</t>
    </r>
  </si>
  <si>
    <r>
      <t xml:space="preserve">Gốc/ </t>
    </r>
    <r>
      <rPr>
        <b/>
        <i/>
        <sz val="11"/>
        <rFont val="Times New Roman"/>
        <family val="1"/>
      </rPr>
      <t>Original</t>
    </r>
  </si>
  <si>
    <r>
      <t xml:space="preserve">Ngày/ </t>
    </r>
    <r>
      <rPr>
        <b/>
        <i/>
        <sz val="11"/>
        <rFont val="Times New Roman"/>
        <family val="1"/>
      </rPr>
      <t>Date</t>
    </r>
  </si>
  <si>
    <t>Chi tiết/ details of payment</t>
  </si>
  <si>
    <r>
      <t>Số chứng từ/</t>
    </r>
    <r>
      <rPr>
        <b/>
        <i/>
        <sz val="11"/>
        <rFont val="Times New Roman"/>
        <family val="1"/>
      </rPr>
      <t xml:space="preserve"> No.</t>
    </r>
  </si>
  <si>
    <r>
      <t xml:space="preserve">Số tiền/ </t>
    </r>
    <r>
      <rPr>
        <b/>
        <i/>
        <sz val="11"/>
        <rFont val="Times New Roman"/>
        <family val="1"/>
      </rPr>
      <t>Amount</t>
    </r>
  </si>
  <si>
    <r>
      <t xml:space="preserve">Hình thức/ </t>
    </r>
    <r>
      <rPr>
        <b/>
        <i/>
        <sz val="11"/>
        <rFont val="Times New Roman"/>
        <family val="1"/>
      </rPr>
      <t>Type</t>
    </r>
  </si>
  <si>
    <r>
      <t>Chứng từ kèm theo gồm/</t>
    </r>
    <r>
      <rPr>
        <b/>
        <i/>
        <sz val="11"/>
        <rFont val="Times New Roman"/>
        <family val="1"/>
      </rPr>
      <t>Attached documents</t>
    </r>
  </si>
  <si>
    <r>
      <t xml:space="preserve">Tại Ngân hàng/ </t>
    </r>
    <r>
      <rPr>
        <i/>
        <sz val="11"/>
        <rFont val="Times New Roman"/>
        <family val="1"/>
      </rPr>
      <t>At the bank:</t>
    </r>
  </si>
  <si>
    <r>
      <t xml:space="preserve">Số tài khoản/ </t>
    </r>
    <r>
      <rPr>
        <i/>
        <sz val="11"/>
        <rFont val="Times New Roman"/>
        <family val="1"/>
      </rPr>
      <t>Bank account:</t>
    </r>
  </si>
  <si>
    <r>
      <t xml:space="preserve">Đơn vị/ Cá nhân nhận tiền/ </t>
    </r>
    <r>
      <rPr>
        <i/>
        <sz val="11"/>
        <rFont val="Times New Roman"/>
        <family val="1"/>
      </rPr>
      <t>Receiver:</t>
    </r>
  </si>
  <si>
    <t>Phần dành cho hình thức chuyển khoản/ For bank transfer:</t>
  </si>
  <si>
    <r>
      <t>Bằng chữ/</t>
    </r>
    <r>
      <rPr>
        <i/>
        <sz val="11"/>
        <rFont val="Times New Roman"/>
        <family val="1"/>
      </rPr>
      <t xml:space="preserve"> In words:</t>
    </r>
  </si>
  <si>
    <r>
      <t xml:space="preserve">Số tiền đề nghị/ </t>
    </r>
    <r>
      <rPr>
        <i/>
        <sz val="11"/>
        <rFont val="Times New Roman"/>
        <family val="1"/>
      </rPr>
      <t>Amount:</t>
    </r>
  </si>
  <si>
    <r>
      <t xml:space="preserve">Chuyển khoản/ </t>
    </r>
    <r>
      <rPr>
        <i/>
        <sz val="11"/>
        <rFont val="Times New Roman"/>
        <family val="1"/>
      </rPr>
      <t>Bank Transfer</t>
    </r>
  </si>
  <si>
    <r>
      <t xml:space="preserve">Tiền mặt/ </t>
    </r>
    <r>
      <rPr>
        <i/>
        <sz val="11"/>
        <rFont val="Times New Roman"/>
        <family val="1"/>
      </rPr>
      <t>Cash</t>
    </r>
  </si>
  <si>
    <r>
      <t xml:space="preserve">Hình thức thanh toán/
</t>
    </r>
    <r>
      <rPr>
        <i/>
        <sz val="11"/>
        <rFont val="Times New Roman"/>
        <family val="1"/>
      </rPr>
      <t>Payment method:</t>
    </r>
  </si>
  <si>
    <r>
      <t xml:space="preserve">Lý do/ 
</t>
    </r>
    <r>
      <rPr>
        <i/>
        <sz val="11"/>
        <rFont val="Times New Roman"/>
        <family val="1"/>
      </rPr>
      <t>Content:</t>
    </r>
  </si>
  <si>
    <r>
      <t xml:space="preserve">Đơn vị công tác/ </t>
    </r>
    <r>
      <rPr>
        <i/>
        <sz val="11"/>
        <rFont val="Times New Roman"/>
        <family val="1"/>
      </rPr>
      <t xml:space="preserve">Deparment: </t>
    </r>
  </si>
  <si>
    <r>
      <t xml:space="preserve">Người đề nghị/ </t>
    </r>
    <r>
      <rPr>
        <i/>
        <sz val="11"/>
        <rFont val="Times New Roman"/>
        <family val="1"/>
      </rPr>
      <t>Proponent</t>
    </r>
    <r>
      <rPr>
        <sz val="11"/>
        <rFont val="Times New Roman"/>
        <family val="1"/>
      </rPr>
      <t xml:space="preserve">: </t>
    </r>
  </si>
  <si>
    <t>Thanh toán Hóa đơn mua mực in số 0003 ngày 21.03.2025/ Payment of purchase RM_Ink_Inv.0003 dated 21Mar25</t>
  </si>
  <si>
    <t>VND</t>
  </si>
  <si>
    <t>Một trăm năm mươi triệu đồng chẵn</t>
  </si>
  <si>
    <t>One hundred and fiffty million Vietnam dong.</t>
  </si>
  <si>
    <r>
      <t xml:space="preserve">Mã số/ </t>
    </r>
    <r>
      <rPr>
        <i/>
        <sz val="10"/>
        <rFont val="Times New Roman"/>
        <family val="1"/>
      </rPr>
      <t>Code</t>
    </r>
    <r>
      <rPr>
        <sz val="10"/>
        <rFont val="Times New Roman"/>
        <family val="1"/>
      </rPr>
      <t>: ACC-001
Ngày/ D</t>
    </r>
    <r>
      <rPr>
        <i/>
        <sz val="10"/>
        <rFont val="Times New Roman"/>
        <family val="1"/>
      </rPr>
      <t>ate</t>
    </r>
    <r>
      <rPr>
        <sz val="10"/>
        <rFont val="Times New Roman"/>
        <family val="1"/>
      </rPr>
      <t xml:space="preserve">: </t>
    </r>
    <r>
      <rPr>
        <sz val="10"/>
        <color rgb="FF000099"/>
        <rFont val="Times New Roman"/>
        <family val="1"/>
      </rPr>
      <t>31/03/2025</t>
    </r>
  </si>
  <si>
    <t>Võ Bích Ngân</t>
  </si>
  <si>
    <t>Phòng mua hàng/ Purchase Deparrtment</t>
  </si>
  <si>
    <t>CÔNG TY SPC</t>
  </si>
  <si>
    <t>070015962311</t>
  </si>
  <si>
    <t>0003</t>
  </si>
  <si>
    <t>005/25</t>
  </si>
  <si>
    <t>001-2025/ HD</t>
  </si>
  <si>
    <t>005</t>
  </si>
  <si>
    <t>006</t>
  </si>
  <si>
    <t>Đề nghị mua hàng/ Purchase request</t>
  </si>
  <si>
    <r>
      <t xml:space="preserve">Địa chỉ ngân hàng/ </t>
    </r>
    <r>
      <rPr>
        <i/>
        <sz val="11"/>
        <rFont val="Times New Roman"/>
        <family val="1"/>
      </rPr>
      <t>Bank address</t>
    </r>
  </si>
  <si>
    <r>
      <t xml:space="preserve">Thời hạn thanh toán/ 
</t>
    </r>
    <r>
      <rPr>
        <i/>
        <sz val="11"/>
        <rFont val="Times New Roman"/>
        <family val="1"/>
      </rPr>
      <t>Payment due date:</t>
    </r>
  </si>
  <si>
    <t>Sacombank - CN Bến Tre</t>
  </si>
  <si>
    <t>Trưởng bộ phận</t>
  </si>
  <si>
    <t>Head of Dept</t>
  </si>
  <si>
    <t>Giám đốc tài chính</t>
  </si>
  <si>
    <t>Operation Director</t>
  </si>
  <si>
    <r>
      <t xml:space="preserve">Từ ngày/ </t>
    </r>
    <r>
      <rPr>
        <i/>
        <sz val="11"/>
        <color rgb="FF000099"/>
        <rFont val="Times New Roman"/>
        <family val="1"/>
      </rPr>
      <t>From</t>
    </r>
    <r>
      <rPr>
        <sz val="11"/>
        <color rgb="FF000099"/>
        <rFont val="Times New Roman"/>
        <family val="1"/>
      </rPr>
      <t xml:space="preserve"> 21/03/2025          - Hạn chót/ </t>
    </r>
    <r>
      <rPr>
        <i/>
        <sz val="11"/>
        <color rgb="FF000099"/>
        <rFont val="Times New Roman"/>
        <family val="1"/>
      </rPr>
      <t>Expired</t>
    </r>
    <r>
      <rPr>
        <sz val="11"/>
        <color rgb="FF000099"/>
        <rFont val="Times New Roman"/>
        <family val="1"/>
      </rPr>
      <t>:  31/05/2025</t>
    </r>
  </si>
  <si>
    <t xml:space="preserve">GIẤY ĐỀ NGHỊ TẠM ỨNG
ADVANCE PAYMENT REQUEST </t>
  </si>
  <si>
    <r>
      <t xml:space="preserve">Người đề nghị/ </t>
    </r>
    <r>
      <rPr>
        <i/>
        <sz val="11"/>
        <rFont val="Times New Roman"/>
        <family val="1"/>
      </rPr>
      <t>Requester</t>
    </r>
    <r>
      <rPr>
        <sz val="11"/>
        <rFont val="Times New Roman"/>
        <family val="1"/>
      </rPr>
      <t xml:space="preserve">: </t>
    </r>
  </si>
  <si>
    <r>
      <t xml:space="preserve">Phòng ban / </t>
    </r>
    <r>
      <rPr>
        <i/>
        <sz val="11"/>
        <rFont val="Times New Roman"/>
        <family val="1"/>
      </rPr>
      <t xml:space="preserve">Deparment: </t>
    </r>
  </si>
  <si>
    <t xml:space="preserve"> đồng</t>
  </si>
  <si>
    <t xml:space="preserve"> Vietnamese dong</t>
  </si>
  <si>
    <r>
      <t xml:space="preserve">Từ ngày/ </t>
    </r>
    <r>
      <rPr>
        <i/>
        <sz val="11"/>
        <rFont val="Times New Roman"/>
        <family val="1"/>
      </rPr>
      <t>From</t>
    </r>
    <r>
      <rPr>
        <sz val="11"/>
        <rFont val="Times New Roman"/>
        <family val="1"/>
      </rPr>
      <t xml:space="preserve"> …../…../202….          - Hạn chót/ </t>
    </r>
    <r>
      <rPr>
        <i/>
        <sz val="11"/>
        <rFont val="Times New Roman"/>
        <family val="1"/>
      </rPr>
      <t>Expired</t>
    </r>
    <r>
      <rPr>
        <sz val="11"/>
        <rFont val="Times New Roman"/>
        <family val="1"/>
      </rPr>
      <t>:  …../…../202….</t>
    </r>
  </si>
  <si>
    <r>
      <t xml:space="preserve">Loại chứng từ/ </t>
    </r>
    <r>
      <rPr>
        <b/>
        <i/>
        <sz val="11"/>
        <rFont val="Times New Roman"/>
        <family val="1"/>
      </rPr>
      <t>Type of document</t>
    </r>
  </si>
  <si>
    <r>
      <t xml:space="preserve">GIẤY ĐỀ NGHỊ THANH TOÁN
</t>
    </r>
    <r>
      <rPr>
        <b/>
        <i/>
        <sz val="14"/>
        <rFont val="Times New Roman"/>
        <family val="1"/>
      </rPr>
      <t xml:space="preserve">PAYMENT REQUEST </t>
    </r>
  </si>
  <si>
    <r>
      <t xml:space="preserve">Thời hạn thanh toán/ </t>
    </r>
    <r>
      <rPr>
        <i/>
        <sz val="11"/>
        <rFont val="Times New Roman"/>
        <family val="1"/>
      </rPr>
      <t>Payment due date:</t>
    </r>
  </si>
  <si>
    <r>
      <t xml:space="preserve">Tiền mặt/ </t>
    </r>
    <r>
      <rPr>
        <i/>
        <sz val="11"/>
        <rFont val="Times New Roman"/>
        <family val="1"/>
      </rPr>
      <t xml:space="preserve">Cash                                 </t>
    </r>
    <r>
      <rPr>
        <sz val="11"/>
        <rFont val="Times New Roman"/>
        <family val="1"/>
      </rPr>
      <t xml:space="preserve"> Chuyển khoản</t>
    </r>
    <r>
      <rPr>
        <i/>
        <sz val="11"/>
        <rFont val="Times New Roman"/>
        <family val="1"/>
      </rPr>
      <t>/ Bank Transfer</t>
    </r>
  </si>
  <si>
    <r>
      <t xml:space="preserve">Số tiền
</t>
    </r>
    <r>
      <rPr>
        <b/>
        <i/>
        <sz val="11"/>
        <rFont val="Times New Roman"/>
        <family val="1"/>
      </rPr>
      <t>Amount Ex VAT</t>
    </r>
  </si>
  <si>
    <r>
      <t xml:space="preserve">Thuế </t>
    </r>
    <r>
      <rPr>
        <b/>
        <i/>
        <sz val="11"/>
        <rFont val="Times New Roman"/>
        <family val="1"/>
      </rPr>
      <t>GTGT
VAT</t>
    </r>
  </si>
  <si>
    <r>
      <t xml:space="preserve">Tổng tiền thanh toán/
</t>
    </r>
    <r>
      <rPr>
        <b/>
        <i/>
        <sz val="11"/>
        <rFont val="Times New Roman"/>
        <family val="1"/>
      </rPr>
      <t>Total amount</t>
    </r>
  </si>
  <si>
    <r>
      <t xml:space="preserve">Tổng Cộng/ </t>
    </r>
    <r>
      <rPr>
        <b/>
        <i/>
        <sz val="12"/>
        <rFont val="Times New Roman"/>
        <family val="1"/>
      </rPr>
      <t xml:space="preserve">Total </t>
    </r>
    <r>
      <rPr>
        <b/>
        <sz val="12"/>
        <rFont val="Times New Roman"/>
        <family val="1"/>
      </rPr>
      <t>(II)</t>
    </r>
  </si>
  <si>
    <r>
      <t xml:space="preserve">Duyệt thu/chi (nếu có)/ </t>
    </r>
    <r>
      <rPr>
        <i/>
        <sz val="12"/>
        <rFont val="Times New Roman"/>
        <family val="1"/>
      </rPr>
      <t>Approval of revenue / expenditure (if any):</t>
    </r>
  </si>
  <si>
    <t>I.</t>
  </si>
  <si>
    <t>II.</t>
  </si>
  <si>
    <t>- Loại 500.000</t>
  </si>
  <si>
    <t>- Loại 200.000</t>
  </si>
  <si>
    <t>- Loại 100.000</t>
  </si>
  <si>
    <t>- Loại 50.000</t>
  </si>
  <si>
    <t>- Loại 20.000</t>
  </si>
  <si>
    <t>- Loại 10.000</t>
  </si>
  <si>
    <t>- Loại 5.000</t>
  </si>
  <si>
    <t>- Loại 2.000</t>
  </si>
  <si>
    <t>- Loại 1.000</t>
  </si>
  <si>
    <t>III.</t>
  </si>
  <si>
    <t>Biên bản kiểm kê tiền mặt tồn quỹ kết thúc vào lúc … giờ ngày ……………… đã đọc lên cho mọi người cùng nghe, cùng thống nhất với nội dung đã đọc.</t>
  </si>
  <si>
    <t>Biên bản được lập thành 02 bản, Phòng Kế toán lưu 01 bản, Thủ quỹ lưu 01 bản.</t>
  </si>
  <si>
    <t xml:space="preserve">Lý do: + Thừa/Thiếu: </t>
  </si>
  <si>
    <t>Kết luận sau khi kiểm kê quỹ:</t>
  </si>
  <si>
    <r>
      <t xml:space="preserve">BIÊN BẢN KIỂM KÊ TIỀN MẶT
</t>
    </r>
    <r>
      <rPr>
        <b/>
        <i/>
        <sz val="14"/>
        <rFont val="Times New Roman"/>
        <family val="1"/>
      </rPr>
      <t>CASH INVENTORY RECORD</t>
    </r>
  </si>
  <si>
    <t>Kawinphat Jirahirannon</t>
  </si>
  <si>
    <t>Tang Wing Chung</t>
  </si>
  <si>
    <r>
      <t xml:space="preserve">Hóa đơn GTGT/ </t>
    </r>
    <r>
      <rPr>
        <i/>
        <sz val="10"/>
        <color rgb="FF000099"/>
        <rFont val="Times New Roman"/>
        <family val="1"/>
      </rPr>
      <t>VAT Invoice</t>
    </r>
  </si>
  <si>
    <r>
      <t xml:space="preserve">Biên bản giao hàng/ </t>
    </r>
    <r>
      <rPr>
        <i/>
        <sz val="10"/>
        <color rgb="FF000099"/>
        <rFont val="Times New Roman"/>
        <family val="1"/>
      </rPr>
      <t xml:space="preserve">Handover receipt </t>
    </r>
  </si>
  <si>
    <r>
      <t>Hợp đồng mua bán/</t>
    </r>
    <r>
      <rPr>
        <i/>
        <sz val="10"/>
        <color rgb="FF000099"/>
        <rFont val="Times New Roman"/>
        <family val="1"/>
      </rPr>
      <t>Sale contract</t>
    </r>
  </si>
  <si>
    <r>
      <t xml:space="preserve">Đơn mua hàng/ </t>
    </r>
    <r>
      <rPr>
        <i/>
        <sz val="10"/>
        <color rgb="FF000099"/>
        <rFont val="Times New Roman"/>
        <family val="1"/>
      </rPr>
      <t>Purchase Order</t>
    </r>
  </si>
  <si>
    <r>
      <t xml:space="preserve">Tổng cộng/ </t>
    </r>
    <r>
      <rPr>
        <b/>
        <i/>
        <sz val="10"/>
        <rFont val="Times New Roman"/>
        <family val="1"/>
      </rPr>
      <t>Total</t>
    </r>
  </si>
  <si>
    <r>
      <t>Chứng từ kèm theo gồm/</t>
    </r>
    <r>
      <rPr>
        <b/>
        <i/>
        <sz val="10"/>
        <rFont val="Times New Roman"/>
        <family val="1"/>
      </rPr>
      <t>Attached documents</t>
    </r>
  </si>
  <si>
    <r>
      <t xml:space="preserve">Hình thức/ </t>
    </r>
    <r>
      <rPr>
        <b/>
        <i/>
        <sz val="10"/>
        <rFont val="Times New Roman"/>
        <family val="1"/>
      </rPr>
      <t>Type</t>
    </r>
  </si>
  <si>
    <r>
      <t xml:space="preserve">Số tiền/ </t>
    </r>
    <r>
      <rPr>
        <b/>
        <i/>
        <sz val="10"/>
        <rFont val="Times New Roman"/>
        <family val="1"/>
      </rPr>
      <t>Amount</t>
    </r>
  </si>
  <si>
    <r>
      <t>Số chứng từ/</t>
    </r>
    <r>
      <rPr>
        <b/>
        <i/>
        <sz val="10"/>
        <rFont val="Times New Roman"/>
        <family val="1"/>
      </rPr>
      <t xml:space="preserve"> No.</t>
    </r>
  </si>
  <si>
    <r>
      <t xml:space="preserve">Ngày/ </t>
    </r>
    <r>
      <rPr>
        <b/>
        <i/>
        <sz val="10"/>
        <rFont val="Times New Roman"/>
        <family val="1"/>
      </rPr>
      <t>Date</t>
    </r>
  </si>
  <si>
    <r>
      <t xml:space="preserve">Gốc/ </t>
    </r>
    <r>
      <rPr>
        <b/>
        <i/>
        <sz val="10"/>
        <rFont val="Times New Roman"/>
        <family val="1"/>
      </rPr>
      <t>Original</t>
    </r>
  </si>
  <si>
    <r>
      <t xml:space="preserve">Sao/ </t>
    </r>
    <r>
      <rPr>
        <b/>
        <i/>
        <sz val="10"/>
        <rFont val="Times New Roman"/>
        <family val="1"/>
      </rPr>
      <t>Copied</t>
    </r>
  </si>
  <si>
    <t>Finance Controller</t>
  </si>
  <si>
    <t>Thành phần kiểm kê/ Cash Inventory participants:</t>
  </si>
  <si>
    <t>Accountant</t>
  </si>
  <si>
    <r>
      <t xml:space="preserve">STT/ </t>
    </r>
    <r>
      <rPr>
        <b/>
        <i/>
        <sz val="10"/>
        <color rgb="FF000000"/>
        <rFont val="Times New Roman"/>
        <family val="1"/>
      </rPr>
      <t>No.</t>
    </r>
  </si>
  <si>
    <r>
      <t xml:space="preserve">DIỄN GIẢI/ </t>
    </r>
    <r>
      <rPr>
        <b/>
        <i/>
        <sz val="10"/>
        <color rgb="FF000000"/>
        <rFont val="Times New Roman"/>
        <family val="1"/>
      </rPr>
      <t>DESCRIPTION</t>
    </r>
  </si>
  <si>
    <r>
      <t xml:space="preserve">SỐ LƯỢNG (TỜ)
</t>
    </r>
    <r>
      <rPr>
        <b/>
        <i/>
        <sz val="10"/>
        <color rgb="FF000000"/>
        <rFont val="Times New Roman"/>
        <family val="1"/>
      </rPr>
      <t>QUANTITY (PCS)</t>
    </r>
  </si>
  <si>
    <r>
      <t xml:space="preserve">SỐ TIỀN (VND)
</t>
    </r>
    <r>
      <rPr>
        <b/>
        <i/>
        <sz val="10"/>
        <color rgb="FF000000"/>
        <rFont val="Times New Roman"/>
        <family val="1"/>
      </rPr>
      <t>AMOUNT</t>
    </r>
  </si>
  <si>
    <r>
      <t xml:space="preserve">GHI CHÚ
</t>
    </r>
    <r>
      <rPr>
        <b/>
        <i/>
        <sz val="10"/>
        <color rgb="FF000000"/>
        <rFont val="Times New Roman"/>
        <family val="1"/>
      </rPr>
      <t>REMARK</t>
    </r>
  </si>
  <si>
    <r>
      <t xml:space="preserve">Số dư theo sổ quỹ/ </t>
    </r>
    <r>
      <rPr>
        <b/>
        <i/>
        <sz val="10"/>
        <color rgb="FF000000"/>
        <rFont val="Times New Roman"/>
        <family val="1"/>
      </rPr>
      <t>Cash book balance</t>
    </r>
  </si>
  <si>
    <r>
      <t xml:space="preserve">Số kiểm kê thực tế/ </t>
    </r>
    <r>
      <rPr>
        <b/>
        <i/>
        <sz val="10"/>
        <color rgb="FF000000"/>
        <rFont val="Times New Roman"/>
        <family val="1"/>
      </rPr>
      <t>Actual inventory number</t>
    </r>
  </si>
  <si>
    <r>
      <t>Trong đó/</t>
    </r>
    <r>
      <rPr>
        <sz val="10"/>
        <color rgb="FF000000"/>
        <rFont val="Times New Roman"/>
        <family val="1"/>
      </rPr>
      <t xml:space="preserve"> Include:</t>
    </r>
  </si>
  <si>
    <r>
      <t xml:space="preserve">Chênh lệch/ </t>
    </r>
    <r>
      <rPr>
        <b/>
        <i/>
        <sz val="10"/>
        <color rgb="FF000000"/>
        <rFont val="Times New Roman"/>
        <family val="1"/>
      </rPr>
      <t>Diference</t>
    </r>
    <r>
      <rPr>
        <b/>
        <sz val="10"/>
        <color rgb="FF000000"/>
        <rFont val="Times New Roman"/>
        <family val="1"/>
      </rPr>
      <t xml:space="preserve"> (III = II - I)</t>
    </r>
  </si>
  <si>
    <t>In word:</t>
  </si>
  <si>
    <t>Reason of difference:</t>
  </si>
  <si>
    <t>Conclusion after cash inventory:</t>
  </si>
  <si>
    <t>The minutes of the cash inventory ended at … o'clock on ……………… were read out for everyone to hear and agree with the content read.</t>
  </si>
  <si>
    <r>
      <t xml:space="preserve">Bằng chữ </t>
    </r>
    <r>
      <rPr>
        <i/>
        <sz val="10"/>
        <color theme="1"/>
        <rFont val="Times New Roman"/>
        <family val="1"/>
      </rPr>
      <t xml:space="preserve">: </t>
    </r>
  </si>
  <si>
    <t xml:space="preserve">Kế toán trưởng
</t>
  </si>
  <si>
    <t>Kế toán</t>
  </si>
  <si>
    <t xml:space="preserve">Thủ quỹ      </t>
  </si>
  <si>
    <t xml:space="preserve">Treasurer           </t>
  </si>
  <si>
    <t>Thủ quỹ / Treasurer</t>
  </si>
  <si>
    <r>
      <t>Thời gian kiểm kê/ Cash i</t>
    </r>
    <r>
      <rPr>
        <i/>
        <sz val="10"/>
        <color theme="1"/>
        <rFont val="Times New Roman"/>
        <family val="1"/>
      </rPr>
      <t>nventory time</t>
    </r>
    <r>
      <rPr>
        <sz val="10"/>
        <color theme="1"/>
        <rFont val="Times New Roman"/>
        <family val="1"/>
      </rPr>
      <t>:</t>
    </r>
  </si>
  <si>
    <r>
      <t xml:space="preserve">Địa điểm kiểm kê/ </t>
    </r>
    <r>
      <rPr>
        <i/>
        <sz val="10"/>
        <color theme="1"/>
        <rFont val="Times New Roman"/>
        <family val="1"/>
      </rPr>
      <t>Address cash inventory</t>
    </r>
    <r>
      <rPr>
        <sz val="10"/>
        <color theme="1"/>
        <rFont val="Times New Roman"/>
        <family val="1"/>
      </rPr>
      <t>:</t>
    </r>
  </si>
  <si>
    <r>
      <t>1. Ông/Bà/</t>
    </r>
    <r>
      <rPr>
        <i/>
        <sz val="10"/>
        <color theme="1"/>
        <rFont val="Times New Roman"/>
        <family val="1"/>
      </rPr>
      <t xml:space="preserve"> Mr/Ms</t>
    </r>
    <r>
      <rPr>
        <sz val="10"/>
        <color theme="1"/>
        <rFont val="Times New Roman"/>
        <family val="1"/>
      </rPr>
      <t xml:space="preserve">.: </t>
    </r>
  </si>
  <si>
    <r>
      <t xml:space="preserve">Chức vụ/ </t>
    </r>
    <r>
      <rPr>
        <i/>
        <sz val="10"/>
        <color theme="1"/>
        <rFont val="Times New Roman"/>
        <family val="1"/>
      </rPr>
      <t>Position</t>
    </r>
    <r>
      <rPr>
        <sz val="10"/>
        <color theme="1"/>
        <rFont val="Times New Roman"/>
        <family val="1"/>
      </rPr>
      <t>:</t>
    </r>
  </si>
  <si>
    <r>
      <t>2. Ông/Bà/</t>
    </r>
    <r>
      <rPr>
        <i/>
        <sz val="10"/>
        <color theme="1"/>
        <rFont val="Times New Roman"/>
        <family val="1"/>
      </rPr>
      <t xml:space="preserve"> Mr/Ms</t>
    </r>
    <r>
      <rPr>
        <sz val="10"/>
        <color theme="1"/>
        <rFont val="Times New Roman"/>
        <family val="1"/>
      </rPr>
      <t xml:space="preserve">.: </t>
    </r>
  </si>
  <si>
    <r>
      <t xml:space="preserve">Kế toán viên/ </t>
    </r>
    <r>
      <rPr>
        <i/>
        <sz val="10"/>
        <color theme="1"/>
        <rFont val="Times New Roman"/>
        <family val="1"/>
      </rPr>
      <t>Accountant</t>
    </r>
  </si>
  <si>
    <r>
      <t>3. Ông/Bà/</t>
    </r>
    <r>
      <rPr>
        <i/>
        <sz val="10"/>
        <color theme="1"/>
        <rFont val="Times New Roman"/>
        <family val="1"/>
      </rPr>
      <t xml:space="preserve"> Mr/Ms</t>
    </r>
    <r>
      <rPr>
        <sz val="10"/>
        <color theme="1"/>
        <rFont val="Times New Roman"/>
        <family val="1"/>
      </rPr>
      <t xml:space="preserve">.: </t>
    </r>
  </si>
  <si>
    <r>
      <t>KTT/</t>
    </r>
    <r>
      <rPr>
        <i/>
        <sz val="10"/>
        <color theme="1"/>
        <rFont val="Times New Roman"/>
        <family val="1"/>
      </rPr>
      <t xml:space="preserve"> Chief Accountant</t>
    </r>
  </si>
  <si>
    <r>
      <t xml:space="preserve">Cùng tiến hành kiểm kê quỹ tiền mặt, kết quả như sau/ </t>
    </r>
    <r>
      <rPr>
        <i/>
        <sz val="10"/>
        <color theme="1"/>
        <rFont val="Times New Roman"/>
        <family val="1"/>
      </rPr>
      <t>Conducting a cash inventory, the results are as follows:</t>
    </r>
  </si>
  <si>
    <t>GIẤY ĐỀ NGHỊ THANH TOÁN
ADVANCE PAYMENT REQUEST</t>
  </si>
  <si>
    <t>CÔNG TY TNHH MỘT THÀNH VIÊN VI TÍNH - ĐIỆN TỬ D N P</t>
  </si>
  <si>
    <t>114000189658</t>
  </si>
  <si>
    <t>Ngân Hàng TMCP Công Thương Việt Nam - CN Bến Tre</t>
  </si>
  <si>
    <r>
      <t xml:space="preserve">Từ ngày/ </t>
    </r>
    <r>
      <rPr>
        <i/>
        <sz val="11"/>
        <color rgb="FF000099"/>
        <rFont val="Times New Roman"/>
        <family val="1"/>
      </rPr>
      <t>From</t>
    </r>
    <r>
      <rPr>
        <sz val="11"/>
        <color rgb="FF000099"/>
        <rFont val="Times New Roman"/>
        <family val="1"/>
      </rPr>
      <t xml:space="preserve">       </t>
    </r>
  </si>
  <si>
    <t xml:space="preserve"> - Hạn chót/ Expired:  </t>
  </si>
  <si>
    <t>IT</t>
  </si>
  <si>
    <t>Lê Nhật Thành</t>
  </si>
  <si>
    <r>
      <t xml:space="preserve">Thanh toán </t>
    </r>
    <r>
      <rPr>
        <sz val="11"/>
        <rFont val="Times New Roman"/>
        <family val="1"/>
      </rPr>
      <t>hóa đơn thuê máy photo</t>
    </r>
    <r>
      <rPr>
        <b/>
        <sz val="11"/>
        <rFont val="Times New Roman"/>
        <family val="1"/>
      </rPr>
      <t xml:space="preserve"> / Payment for photocopier rental invoice</t>
    </r>
  </si>
  <si>
    <t>Quản lý Tài chính</t>
  </si>
  <si>
    <t>Financial management</t>
  </si>
  <si>
    <t>Chen Lai Chong – John</t>
  </si>
  <si>
    <t>Bùi Khánh Nguyên</t>
  </si>
  <si>
    <t>Thuê máy Photocopy Toshiba 4508A tháng 07 năm 2026</t>
  </si>
  <si>
    <t>BÙI KHÁNH NGUYÊN</t>
  </si>
  <si>
    <t>00000137</t>
  </si>
  <si>
    <t>09/09/2026</t>
  </si>
  <si>
    <r>
      <t xml:space="preserve">Mã số/ </t>
    </r>
    <r>
      <rPr>
        <i/>
        <sz val="10"/>
        <rFont val="Times New Roman"/>
        <family val="1"/>
      </rPr>
      <t>Code</t>
    </r>
    <r>
      <rPr>
        <sz val="10"/>
        <rFont val="Times New Roman"/>
        <family val="1"/>
      </rPr>
      <t>: ACC-001
Ngày/ D</t>
    </r>
    <r>
      <rPr>
        <i/>
        <sz val="10"/>
        <rFont val="Times New Roman"/>
        <family val="1"/>
      </rPr>
      <t>ate</t>
    </r>
    <r>
      <rPr>
        <sz val="10"/>
        <rFont val="Times New Roman"/>
        <family val="1"/>
      </rPr>
      <t>: ...</t>
    </r>
    <r>
      <rPr>
        <sz val="10"/>
        <color rgb="FF000099"/>
        <rFont val="Times New Roman"/>
        <family val="1"/>
      </rPr>
      <t>/…/2026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</si>
</sst>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dd\/mm\/yyyy"/>
    <numFmt numFmtId="168" formatCode="_-* #,##0_-;\-* #,##0_-;_-* &quot;-&quot;??_-;_-@_-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i/>
      <sz val="11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b/>
      <i/>
      <sz val="11"/>
      <name val="Times New Roman"/>
      <family val="1"/>
    </font>
    <font>
      <b/>
      <sz val="11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</font>
    <font>
      <b/>
      <i/>
      <u/>
      <sz val="11"/>
      <name val="Times New Roman"/>
      <family val="1"/>
    </font>
    <font>
      <i/>
      <sz val="10"/>
      <name val="Times New Roman"/>
      <family val="1"/>
    </font>
    <font>
      <b/>
      <sz val="14"/>
      <name val="Times New Roman"/>
      <family val="1"/>
    </font>
    <font>
      <sz val="10"/>
      <color theme="1"/>
      <name val="Times New Roman"/>
      <family val="1"/>
    </font>
    <font>
      <sz val="10"/>
      <color rgb="FF000099"/>
      <name val="Times New Roman"/>
      <family val="1"/>
    </font>
    <font>
      <sz val="11"/>
      <color rgb="FF000099"/>
      <name val="Times New Roman"/>
      <family val="1"/>
    </font>
    <font>
      <b/>
      <sz val="12"/>
      <color rgb="FF000099"/>
      <name val="Times New Roman"/>
      <family val="1"/>
    </font>
    <font>
      <b/>
      <sz val="11"/>
      <color rgb="FF000099"/>
      <name val="Times New Roman"/>
      <family val="1"/>
    </font>
    <font>
      <b/>
      <i/>
      <sz val="11"/>
      <color rgb="FF000099"/>
      <name val="Times New Roman"/>
      <family val="1"/>
    </font>
    <font>
      <i/>
      <sz val="11"/>
      <color rgb="FF000099"/>
      <name val="Times New Roman"/>
      <family val="1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3"/>
      <name val="Times New Roman"/>
      <family val="1"/>
    </font>
    <font>
      <i/>
      <sz val="10"/>
      <color rgb="FF000099"/>
      <name val="Times New Roman"/>
      <family val="1"/>
    </font>
    <font>
      <b/>
      <i/>
      <sz val="10"/>
      <name val="Times New Roman"/>
      <family val="1"/>
    </font>
    <font>
      <b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1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  <charset val="163"/>
    </font>
    <font>
      <sz val="11"/>
      <color rgb="FF000000"/>
      <name val="TimesNewRomanRegula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3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39">
    <xf numFmtId="0" fontId="0" fillId="0" borderId="0" xfId="0"/>
    <xf numFmtId="166" fontId="2" fillId="0" borderId="0" xfId="1" applyNumberFormat="1" applyFont="1"/>
    <xf numFmtId="166" fontId="3" fillId="0" borderId="0" xfId="1" applyNumberFormat="1" applyFont="1"/>
    <xf numFmtId="166" fontId="2" fillId="0" borderId="1" xfId="1" applyNumberFormat="1" applyFont="1" applyBorder="1"/>
    <xf numFmtId="166" fontId="2" fillId="0" borderId="2" xfId="1" applyNumberFormat="1" applyFont="1" applyBorder="1"/>
    <xf numFmtId="166" fontId="2" fillId="0" borderId="3" xfId="1" applyNumberFormat="1" applyFont="1" applyBorder="1"/>
    <xf numFmtId="166" fontId="2" fillId="0" borderId="4" xfId="1" applyNumberFormat="1" applyFont="1" applyBorder="1"/>
    <xf numFmtId="166" fontId="2" fillId="0" borderId="0" xfId="1" applyNumberFormat="1" applyFont="1" applyBorder="1"/>
    <xf numFmtId="166" fontId="2" fillId="0" borderId="5" xfId="1" applyNumberFormat="1" applyFont="1" applyBorder="1"/>
    <xf numFmtId="166" fontId="2" fillId="0" borderId="6" xfId="1" applyNumberFormat="1" applyFont="1" applyBorder="1"/>
    <xf numFmtId="166" fontId="2" fillId="0" borderId="7" xfId="1" applyNumberFormat="1" applyFont="1" applyBorder="1"/>
    <xf numFmtId="0" fontId="2" fillId="0" borderId="0" xfId="0" applyFont="1"/>
    <xf numFmtId="166" fontId="5" fillId="0" borderId="0" xfId="0" applyNumberFormat="1" applyFont="1" applyAlignment="1">
      <alignment horizontal="center" shrinkToFit="1"/>
    </xf>
    <xf numFmtId="0" fontId="2" fillId="0" borderId="0" xfId="0" applyFont="1" applyAlignment="1">
      <alignment horizontal="center"/>
    </xf>
    <xf numFmtId="166" fontId="2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center"/>
    </xf>
    <xf numFmtId="0" fontId="8" fillId="0" borderId="0" xfId="2" applyFont="1" applyAlignment="1">
      <alignment vertical="center"/>
    </xf>
    <xf numFmtId="166" fontId="9" fillId="0" borderId="7" xfId="1" applyNumberFormat="1" applyFont="1" applyBorder="1" applyAlignment="1">
      <alignment horizontal="center"/>
    </xf>
    <xf numFmtId="166" fontId="3" fillId="0" borderId="0" xfId="1" applyNumberFormat="1" applyFont="1" applyAlignment="1">
      <alignment horizontal="center"/>
    </xf>
    <xf numFmtId="49" fontId="2" fillId="0" borderId="11" xfId="1" applyNumberFormat="1" applyFont="1" applyFill="1" applyBorder="1" applyAlignment="1">
      <alignment horizontal="center" vertical="center" wrapText="1"/>
    </xf>
    <xf numFmtId="167" fontId="2" fillId="0" borderId="11" xfId="1" applyNumberFormat="1" applyFont="1" applyFill="1" applyBorder="1" applyAlignment="1">
      <alignment horizontal="center" vertical="center"/>
    </xf>
    <xf numFmtId="49" fontId="2" fillId="0" borderId="11" xfId="1" applyNumberFormat="1" applyFont="1" applyFill="1" applyBorder="1" applyAlignment="1">
      <alignment horizontal="center" wrapText="1"/>
    </xf>
    <xf numFmtId="49" fontId="2" fillId="0" borderId="12" xfId="1" applyNumberFormat="1" applyFont="1" applyFill="1" applyBorder="1" applyAlignment="1">
      <alignment horizontal="center" vertical="center" wrapText="1"/>
    </xf>
    <xf numFmtId="166" fontId="10" fillId="0" borderId="0" xfId="1" applyNumberFormat="1" applyFont="1" applyAlignment="1">
      <alignment horizontal="center"/>
    </xf>
    <xf numFmtId="49" fontId="9" fillId="0" borderId="10" xfId="1" applyNumberFormat="1" applyFont="1" applyFill="1" applyBorder="1" applyAlignment="1">
      <alignment horizontal="center" vertical="center" wrapText="1"/>
    </xf>
    <xf numFmtId="49" fontId="9" fillId="0" borderId="10" xfId="1" applyNumberFormat="1" applyFont="1" applyFill="1" applyBorder="1" applyAlignment="1">
      <alignment horizontal="center" vertical="center"/>
    </xf>
    <xf numFmtId="49" fontId="9" fillId="0" borderId="10" xfId="1" applyNumberFormat="1" applyFont="1" applyFill="1" applyBorder="1" applyAlignment="1">
      <alignment horizontal="center" wrapText="1"/>
    </xf>
    <xf numFmtId="0" fontId="3" fillId="0" borderId="0" xfId="0" applyFont="1"/>
    <xf numFmtId="166" fontId="2" fillId="2" borderId="0" xfId="1" applyNumberFormat="1" applyFont="1" applyFill="1" applyBorder="1" applyAlignment="1"/>
    <xf numFmtId="49" fontId="2" fillId="2" borderId="0" xfId="1" applyNumberFormat="1" applyFont="1" applyFill="1" applyBorder="1" applyAlignment="1"/>
    <xf numFmtId="166" fontId="3" fillId="0" borderId="0" xfId="1" applyNumberFormat="1" applyFont="1" applyBorder="1"/>
    <xf numFmtId="49" fontId="2" fillId="3" borderId="0" xfId="1" applyNumberFormat="1" applyFont="1" applyFill="1" applyBorder="1"/>
    <xf numFmtId="166" fontId="2" fillId="3" borderId="0" xfId="1" applyNumberFormat="1" applyFont="1" applyFill="1" applyBorder="1"/>
    <xf numFmtId="166" fontId="12" fillId="3" borderId="0" xfId="1" applyNumberFormat="1" applyFont="1" applyFill="1" applyBorder="1"/>
    <xf numFmtId="49" fontId="2" fillId="0" borderId="0" xfId="1" applyNumberFormat="1" applyFont="1" applyBorder="1"/>
    <xf numFmtId="49" fontId="2" fillId="0" borderId="0" xfId="1" applyNumberFormat="1" applyFont="1" applyBorder="1" applyAlignment="1">
      <alignment vertical="center"/>
    </xf>
    <xf numFmtId="3" fontId="2" fillId="0" borderId="9" xfId="1" applyNumberFormat="1" applyFont="1" applyBorder="1" applyAlignment="1">
      <alignment vertical="center"/>
    </xf>
    <xf numFmtId="49" fontId="2" fillId="0" borderId="0" xfId="1" applyNumberFormat="1" applyFont="1" applyBorder="1" applyAlignment="1">
      <alignment horizontal="right" vertical="center"/>
    </xf>
    <xf numFmtId="166" fontId="2" fillId="0" borderId="9" xfId="1" applyNumberFormat="1" applyFont="1" applyBorder="1" applyAlignment="1"/>
    <xf numFmtId="0" fontId="2" fillId="4" borderId="0" xfId="0" applyFont="1" applyFill="1"/>
    <xf numFmtId="166" fontId="17" fillId="0" borderId="9" xfId="1" applyNumberFormat="1" applyFont="1" applyBorder="1" applyAlignment="1">
      <alignment vertical="center"/>
    </xf>
    <xf numFmtId="166" fontId="17" fillId="0" borderId="9" xfId="1" applyNumberFormat="1" applyFont="1" applyBorder="1" applyAlignment="1"/>
    <xf numFmtId="168" fontId="18" fillId="0" borderId="0" xfId="1" applyNumberFormat="1" applyFont="1" applyAlignment="1">
      <alignment vertical="center"/>
    </xf>
    <xf numFmtId="3" fontId="19" fillId="0" borderId="9" xfId="1" applyNumberFormat="1" applyFont="1" applyBorder="1" applyAlignment="1">
      <alignment vertical="center"/>
    </xf>
    <xf numFmtId="49" fontId="2" fillId="5" borderId="0" xfId="1" applyNumberFormat="1" applyFont="1" applyFill="1" applyBorder="1"/>
    <xf numFmtId="166" fontId="11" fillId="5" borderId="0" xfId="1" applyNumberFormat="1" applyFont="1" applyFill="1" applyBorder="1" applyAlignment="1">
      <alignment horizontal="left" vertical="center"/>
    </xf>
    <xf numFmtId="166" fontId="12" fillId="5" borderId="8" xfId="1" applyNumberFormat="1" applyFont="1" applyFill="1" applyBorder="1"/>
    <xf numFmtId="166" fontId="2" fillId="5" borderId="7" xfId="1" applyNumberFormat="1" applyFont="1" applyFill="1" applyBorder="1"/>
    <xf numFmtId="166" fontId="2" fillId="5" borderId="6" xfId="1" applyNumberFormat="1" applyFont="1" applyFill="1" applyBorder="1"/>
    <xf numFmtId="49" fontId="2" fillId="5" borderId="5" xfId="1" applyNumberFormat="1" applyFont="1" applyFill="1" applyBorder="1"/>
    <xf numFmtId="166" fontId="11" fillId="5" borderId="4" xfId="1" applyNumberFormat="1" applyFont="1" applyFill="1" applyBorder="1" applyAlignment="1">
      <alignment horizontal="left" vertical="center"/>
    </xf>
    <xf numFmtId="49" fontId="17" fillId="5" borderId="2" xfId="1" applyNumberFormat="1" applyFont="1" applyFill="1" applyBorder="1" applyAlignment="1"/>
    <xf numFmtId="166" fontId="2" fillId="5" borderId="2" xfId="1" applyNumberFormat="1" applyFont="1" applyFill="1" applyBorder="1" applyAlignment="1"/>
    <xf numFmtId="166" fontId="2" fillId="5" borderId="1" xfId="1" applyNumberFormat="1" applyFont="1" applyFill="1" applyBorder="1" applyAlignment="1"/>
    <xf numFmtId="49" fontId="2" fillId="0" borderId="9" xfId="1" applyNumberFormat="1" applyFont="1" applyBorder="1" applyAlignment="1">
      <alignment vertical="center"/>
    </xf>
    <xf numFmtId="49" fontId="2" fillId="0" borderId="0" xfId="1" applyNumberFormat="1" applyFont="1" applyBorder="1" applyAlignment="1">
      <alignment horizontal="left"/>
    </xf>
    <xf numFmtId="49" fontId="2" fillId="0" borderId="0" xfId="1" applyNumberFormat="1" applyFont="1" applyBorder="1" applyAlignment="1">
      <alignment horizontal="right"/>
    </xf>
    <xf numFmtId="49" fontId="2" fillId="0" borderId="26" xfId="1" quotePrefix="1" applyNumberFormat="1" applyFont="1" applyFill="1" applyBorder="1" applyAlignment="1">
      <alignment horizontal="center" wrapText="1"/>
    </xf>
    <xf numFmtId="167" fontId="2" fillId="0" borderId="26" xfId="1" applyNumberFormat="1" applyFont="1" applyFill="1" applyBorder="1" applyAlignment="1">
      <alignment horizontal="center" vertical="center"/>
    </xf>
    <xf numFmtId="49" fontId="2" fillId="0" borderId="26" xfId="1" applyNumberFormat="1" applyFont="1" applyFill="1" applyBorder="1" applyAlignment="1">
      <alignment horizontal="center" vertical="center" wrapText="1"/>
    </xf>
    <xf numFmtId="166" fontId="2" fillId="0" borderId="26" xfId="1" applyNumberFormat="1" applyFont="1" applyFill="1" applyBorder="1" applyAlignment="1">
      <alignment horizontal="center" vertical="center" wrapText="1"/>
    </xf>
    <xf numFmtId="49" fontId="2" fillId="0" borderId="12" xfId="1" quotePrefix="1" applyNumberFormat="1" applyFont="1" applyFill="1" applyBorder="1" applyAlignment="1">
      <alignment horizontal="center" wrapText="1"/>
    </xf>
    <xf numFmtId="167" fontId="2" fillId="0" borderId="12" xfId="1" applyNumberFormat="1" applyFont="1" applyFill="1" applyBorder="1" applyAlignment="1">
      <alignment horizontal="center" vertical="center"/>
    </xf>
    <xf numFmtId="166" fontId="2" fillId="0" borderId="12" xfId="1" applyNumberFormat="1" applyFont="1" applyFill="1" applyBorder="1" applyAlignment="1">
      <alignment horizontal="center" vertical="center" wrapText="1"/>
    </xf>
    <xf numFmtId="2" fontId="2" fillId="0" borderId="12" xfId="1" applyNumberFormat="1" applyFont="1" applyFill="1" applyBorder="1" applyAlignment="1">
      <alignment horizontal="center" vertical="center" wrapText="1"/>
    </xf>
    <xf numFmtId="2" fontId="2" fillId="0" borderId="11" xfId="1" applyNumberFormat="1" applyFont="1" applyFill="1" applyBorder="1" applyAlignment="1">
      <alignment horizontal="center" vertical="center" wrapText="1"/>
    </xf>
    <xf numFmtId="166" fontId="2" fillId="0" borderId="10" xfId="1" applyNumberFormat="1" applyFont="1" applyFill="1" applyBorder="1" applyAlignment="1">
      <alignment horizontal="center" vertical="center" wrapText="1"/>
    </xf>
    <xf numFmtId="166" fontId="2" fillId="0" borderId="0" xfId="1" applyNumberFormat="1" applyFont="1" applyAlignment="1"/>
    <xf numFmtId="49" fontId="2" fillId="0" borderId="0" xfId="1" applyNumberFormat="1" applyFont="1" applyBorder="1" applyAlignment="1"/>
    <xf numFmtId="49" fontId="11" fillId="6" borderId="0" xfId="1" applyNumberFormat="1" applyFont="1" applyFill="1" applyBorder="1" applyAlignment="1">
      <alignment horizontal="left"/>
    </xf>
    <xf numFmtId="49" fontId="11" fillId="0" borderId="0" xfId="2" applyNumberFormat="1" applyFont="1" applyAlignment="1">
      <alignment vertical="center"/>
    </xf>
    <xf numFmtId="49" fontId="11" fillId="0" borderId="0" xfId="1" applyNumberFormat="1" applyFont="1" applyAlignment="1">
      <alignment vertical="center"/>
    </xf>
    <xf numFmtId="0" fontId="11" fillId="0" borderId="0" xfId="2" applyFont="1" applyAlignment="1">
      <alignment vertical="center"/>
    </xf>
    <xf numFmtId="0" fontId="3" fillId="0" borderId="0" xfId="2" applyFont="1" applyAlignment="1">
      <alignment horizontal="center" vertical="center"/>
    </xf>
    <xf numFmtId="49" fontId="3" fillId="0" borderId="8" xfId="1" applyNumberFormat="1" applyFont="1" applyFill="1" applyBorder="1" applyAlignment="1">
      <alignment horizontal="left" vertical="top"/>
    </xf>
    <xf numFmtId="49" fontId="3" fillId="0" borderId="7" xfId="1" applyNumberFormat="1" applyFont="1" applyFill="1" applyBorder="1" applyAlignment="1">
      <alignment horizontal="left" vertical="top"/>
    </xf>
    <xf numFmtId="0" fontId="5" fillId="0" borderId="6" xfId="0" applyFont="1" applyBorder="1"/>
    <xf numFmtId="0" fontId="5" fillId="0" borderId="0" xfId="0" applyFont="1"/>
    <xf numFmtId="49" fontId="3" fillId="0" borderId="5" xfId="1" applyNumberFormat="1" applyFont="1" applyFill="1" applyBorder="1" applyAlignment="1">
      <alignment horizontal="left" vertical="top"/>
    </xf>
    <xf numFmtId="49" fontId="3" fillId="0" borderId="0" xfId="1" applyNumberFormat="1" applyFont="1" applyFill="1" applyBorder="1" applyAlignment="1">
      <alignment horizontal="left" vertical="top"/>
    </xf>
    <xf numFmtId="0" fontId="5" fillId="0" borderId="4" xfId="0" applyFont="1" applyBorder="1"/>
    <xf numFmtId="49" fontId="3" fillId="0" borderId="3" xfId="1" applyNumberFormat="1" applyFont="1" applyFill="1" applyBorder="1" applyAlignment="1">
      <alignment horizontal="left" vertical="top"/>
    </xf>
    <xf numFmtId="49" fontId="3" fillId="0" borderId="2" xfId="1" applyNumberFormat="1" applyFont="1" applyFill="1" applyBorder="1" applyAlignment="1">
      <alignment horizontal="left" vertical="top"/>
    </xf>
    <xf numFmtId="166" fontId="25" fillId="0" borderId="2" xfId="3" applyNumberFormat="1" applyFont="1" applyBorder="1" applyAlignment="1">
      <alignment vertical="center"/>
    </xf>
    <xf numFmtId="0" fontId="5" fillId="0" borderId="2" xfId="0" applyFont="1" applyBorder="1"/>
    <xf numFmtId="0" fontId="5" fillId="0" borderId="1" xfId="0" applyFont="1" applyBorder="1"/>
    <xf numFmtId="0" fontId="25" fillId="0" borderId="0" xfId="2" applyFont="1" applyAlignment="1">
      <alignment vertical="center"/>
    </xf>
    <xf numFmtId="166" fontId="25" fillId="0" borderId="0" xfId="3" applyNumberFormat="1" applyFont="1" applyAlignment="1">
      <alignment vertical="center"/>
    </xf>
    <xf numFmtId="49" fontId="16" fillId="0" borderId="15" xfId="1" quotePrefix="1" applyNumberFormat="1" applyFont="1" applyFill="1" applyBorder="1" applyAlignment="1">
      <alignment horizontal="center" vertical="center" wrapText="1"/>
    </xf>
    <xf numFmtId="167" fontId="16" fillId="0" borderId="15" xfId="1" quotePrefix="1" applyNumberFormat="1" applyFont="1" applyFill="1" applyBorder="1" applyAlignment="1">
      <alignment horizontal="center" vertical="center"/>
    </xf>
    <xf numFmtId="49" fontId="16" fillId="0" borderId="15" xfId="1" applyNumberFormat="1" applyFont="1" applyFill="1" applyBorder="1" applyAlignment="1">
      <alignment horizontal="center" vertical="center" wrapText="1"/>
    </xf>
    <xf numFmtId="168" fontId="16" fillId="0" borderId="15" xfId="1" applyNumberFormat="1" applyFont="1" applyFill="1" applyBorder="1" applyAlignment="1">
      <alignment horizontal="right" vertical="center" wrapText="1"/>
    </xf>
    <xf numFmtId="49" fontId="16" fillId="0" borderId="12" xfId="1" quotePrefix="1" applyNumberFormat="1" applyFont="1" applyFill="1" applyBorder="1" applyAlignment="1">
      <alignment horizontal="center" vertical="center" wrapText="1"/>
    </xf>
    <xf numFmtId="167" fontId="16" fillId="0" borderId="12" xfId="1" quotePrefix="1" applyNumberFormat="1" applyFont="1" applyFill="1" applyBorder="1" applyAlignment="1">
      <alignment horizontal="center" vertical="center"/>
    </xf>
    <xf numFmtId="49" fontId="16" fillId="0" borderId="12" xfId="1" applyNumberFormat="1" applyFont="1" applyFill="1" applyBorder="1" applyAlignment="1">
      <alignment horizontal="center" vertical="center" wrapText="1"/>
    </xf>
    <xf numFmtId="168" fontId="16" fillId="0" borderId="12" xfId="1" applyNumberFormat="1" applyFont="1" applyFill="1" applyBorder="1" applyAlignment="1">
      <alignment horizontal="center" vertical="center" wrapText="1"/>
    </xf>
    <xf numFmtId="49" fontId="16" fillId="0" borderId="11" xfId="1" applyNumberFormat="1" applyFont="1" applyFill="1" applyBorder="1" applyAlignment="1">
      <alignment horizontal="center" wrapText="1"/>
    </xf>
    <xf numFmtId="167" fontId="16" fillId="0" borderId="11" xfId="1" applyNumberFormat="1" applyFont="1" applyFill="1" applyBorder="1" applyAlignment="1">
      <alignment horizontal="center" vertical="center"/>
    </xf>
    <xf numFmtId="49" fontId="16" fillId="0" borderId="11" xfId="1" applyNumberFormat="1" applyFont="1" applyFill="1" applyBorder="1" applyAlignment="1">
      <alignment horizontal="center" vertical="center" wrapText="1"/>
    </xf>
    <xf numFmtId="168" fontId="16" fillId="0" borderId="11" xfId="1" applyNumberFormat="1" applyFont="1" applyFill="1" applyBorder="1" applyAlignment="1">
      <alignment horizontal="center" vertical="center" wrapText="1"/>
    </xf>
    <xf numFmtId="168" fontId="22" fillId="5" borderId="10" xfId="1" applyNumberFormat="1" applyFont="1" applyFill="1" applyBorder="1"/>
    <xf numFmtId="49" fontId="22" fillId="0" borderId="10" xfId="1" applyNumberFormat="1" applyFont="1" applyFill="1" applyBorder="1" applyAlignment="1">
      <alignment horizontal="center" vertical="center" wrapText="1"/>
    </xf>
    <xf numFmtId="49" fontId="22" fillId="0" borderId="10" xfId="1" applyNumberFormat="1" applyFont="1" applyFill="1" applyBorder="1" applyAlignment="1">
      <alignment horizontal="center" wrapText="1"/>
    </xf>
    <xf numFmtId="49" fontId="22" fillId="0" borderId="10" xfId="1" applyNumberFormat="1" applyFont="1" applyFill="1" applyBorder="1" applyAlignment="1">
      <alignment horizontal="center" vertical="center"/>
    </xf>
    <xf numFmtId="49" fontId="5" fillId="4" borderId="10" xfId="0" applyNumberFormat="1" applyFont="1" applyFill="1" applyBorder="1" applyAlignment="1">
      <alignment vertical="center" wrapText="1"/>
    </xf>
    <xf numFmtId="0" fontId="28" fillId="7" borderId="10" xfId="0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vertical="center"/>
    </xf>
    <xf numFmtId="0" fontId="30" fillId="0" borderId="10" xfId="0" applyFont="1" applyBorder="1" applyAlignment="1">
      <alignment horizontal="center" vertical="center"/>
    </xf>
    <xf numFmtId="0" fontId="31" fillId="0" borderId="10" xfId="0" applyFont="1" applyBorder="1" applyAlignment="1">
      <alignment vertical="center"/>
    </xf>
    <xf numFmtId="0" fontId="30" fillId="0" borderId="10" xfId="0" applyFont="1" applyBorder="1" applyAlignment="1">
      <alignment vertical="center"/>
    </xf>
    <xf numFmtId="0" fontId="15" fillId="0" borderId="0" xfId="0" applyFont="1" applyAlignment="1">
      <alignment horizontal="left" vertical="center"/>
    </xf>
    <xf numFmtId="0" fontId="32" fillId="0" borderId="0" xfId="0" applyFont="1"/>
    <xf numFmtId="0" fontId="15" fillId="0" borderId="10" xfId="0" applyFont="1" applyBorder="1"/>
    <xf numFmtId="0" fontId="33" fillId="0" borderId="0" xfId="0" applyFont="1"/>
    <xf numFmtId="0" fontId="33" fillId="0" borderId="0" xfId="0" applyFont="1" applyAlignment="1">
      <alignment horizontal="left" vertical="center"/>
    </xf>
    <xf numFmtId="0" fontId="15" fillId="0" borderId="0" xfId="0" applyFont="1"/>
    <xf numFmtId="0" fontId="34" fillId="0" borderId="0" xfId="0" applyFont="1" applyAlignment="1">
      <alignment horizontal="justify" vertical="center"/>
    </xf>
    <xf numFmtId="0" fontId="34" fillId="0" borderId="0" xfId="0" applyFont="1"/>
    <xf numFmtId="0" fontId="15" fillId="0" borderId="0" xfId="0" applyFont="1" applyAlignment="1">
      <alignment horizontal="justify" vertical="center"/>
    </xf>
    <xf numFmtId="0" fontId="15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66" fontId="3" fillId="0" borderId="0" xfId="1" applyNumberFormat="1" applyFont="1" applyBorder="1" applyAlignment="1">
      <alignment vertical="center"/>
    </xf>
    <xf numFmtId="168" fontId="11" fillId="0" borderId="10" xfId="1" applyNumberFormat="1" applyFont="1" applyBorder="1" applyAlignment="1">
      <alignment vertical="center"/>
    </xf>
    <xf numFmtId="0" fontId="9" fillId="0" borderId="0" xfId="0" applyFont="1" applyAlignment="1">
      <alignment horizontal="center"/>
    </xf>
    <xf numFmtId="166" fontId="9" fillId="0" borderId="9" xfId="1" applyNumberFormat="1" applyFont="1" applyFill="1" applyBorder="1" applyAlignment="1">
      <alignment vertical="center"/>
    </xf>
    <xf numFmtId="166" fontId="2" fillId="0" borderId="9" xfId="1" applyNumberFormat="1" applyFont="1" applyFill="1" applyBorder="1" applyAlignment="1"/>
    <xf numFmtId="166" fontId="2" fillId="0" borderId="9" xfId="1" applyNumberFormat="1" applyFont="1" applyFill="1" applyBorder="1" applyAlignment="1">
      <alignment vertical="center"/>
    </xf>
    <xf numFmtId="3" fontId="2" fillId="0" borderId="9" xfId="1" applyNumberFormat="1" applyFont="1" applyFill="1" applyBorder="1" applyAlignment="1">
      <alignment vertical="center"/>
    </xf>
    <xf numFmtId="3" fontId="17" fillId="0" borderId="9" xfId="1" applyNumberFormat="1" applyFont="1" applyFill="1" applyBorder="1" applyAlignment="1">
      <alignment vertical="center"/>
    </xf>
    <xf numFmtId="49" fontId="9" fillId="0" borderId="29" xfId="1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66" fontId="22" fillId="0" borderId="9" xfId="1" applyNumberFormat="1" applyFont="1" applyBorder="1" applyAlignment="1">
      <alignment horizontal="center" vertical="center"/>
    </xf>
    <xf numFmtId="14" fontId="15" fillId="0" borderId="10" xfId="0" quotePrefix="1" applyNumberFormat="1" applyFont="1" applyBorder="1" applyAlignment="1">
      <alignment horizontal="center" vertical="center"/>
    </xf>
    <xf numFmtId="164" fontId="37" fillId="0" borderId="10" xfId="6" applyFont="1" applyFill="1" applyBorder="1" applyAlignment="1">
      <alignment horizontal="center" vertical="center" wrapText="1"/>
    </xf>
    <xf numFmtId="3" fontId="38" fillId="0" borderId="10" xfId="0" applyNumberFormat="1" applyFont="1" applyBorder="1" applyAlignment="1">
      <alignment vertical="center" wrapText="1"/>
    </xf>
    <xf numFmtId="49" fontId="2" fillId="0" borderId="0" xfId="1" applyNumberFormat="1" applyFont="1" applyBorder="1" applyAlignment="1">
      <alignment horizontal="left" vertical="top" wrapText="1"/>
    </xf>
    <xf numFmtId="49" fontId="17" fillId="0" borderId="0" xfId="1" applyNumberFormat="1" applyFont="1" applyBorder="1" applyAlignment="1">
      <alignment horizontal="left" vertical="top" wrapText="1"/>
    </xf>
    <xf numFmtId="0" fontId="11" fillId="4" borderId="23" xfId="0" applyFont="1" applyFill="1" applyBorder="1" applyAlignment="1">
      <alignment horizontal="center" vertical="center" wrapText="1"/>
    </xf>
    <xf numFmtId="0" fontId="11" fillId="4" borderId="24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 wrapText="1"/>
    </xf>
    <xf numFmtId="49" fontId="5" fillId="4" borderId="20" xfId="0" applyNumberFormat="1" applyFont="1" applyFill="1" applyBorder="1" applyAlignment="1">
      <alignment horizontal="left" vertical="center" wrapText="1"/>
    </xf>
    <xf numFmtId="49" fontId="5" fillId="4" borderId="18" xfId="0" applyNumberFormat="1" applyFont="1" applyFill="1" applyBorder="1" applyAlignment="1">
      <alignment horizontal="left" vertical="center" wrapText="1"/>
    </xf>
    <xf numFmtId="49" fontId="2" fillId="0" borderId="0" xfId="1" applyNumberFormat="1" applyFont="1" applyBorder="1" applyAlignment="1">
      <alignment horizontal="left" wrapText="1"/>
    </xf>
    <xf numFmtId="49" fontId="16" fillId="0" borderId="17" xfId="1" applyNumberFormat="1" applyFont="1" applyBorder="1" applyAlignment="1">
      <alignment horizontal="left" vertical="center" wrapText="1"/>
    </xf>
    <xf numFmtId="49" fontId="16" fillId="0" borderId="16" xfId="1" applyNumberFormat="1" applyFont="1" applyBorder="1" applyAlignment="1">
      <alignment horizontal="left" vertical="center" wrapText="1"/>
    </xf>
    <xf numFmtId="166" fontId="19" fillId="0" borderId="22" xfId="1" applyNumberFormat="1" applyFont="1" applyBorder="1" applyAlignment="1">
      <alignment horizontal="left" vertical="center" wrapText="1"/>
    </xf>
    <xf numFmtId="166" fontId="20" fillId="0" borderId="21" xfId="1" applyNumberFormat="1" applyFont="1" applyBorder="1" applyAlignment="1">
      <alignment horizontal="left" vertical="top" wrapText="1"/>
    </xf>
    <xf numFmtId="166" fontId="19" fillId="0" borderId="21" xfId="1" applyNumberFormat="1" applyFont="1" applyBorder="1" applyAlignment="1">
      <alignment horizontal="left" vertical="top"/>
    </xf>
    <xf numFmtId="49" fontId="2" fillId="5" borderId="5" xfId="1" applyNumberFormat="1" applyFont="1" applyFill="1" applyBorder="1" applyAlignment="1">
      <alignment horizontal="left" wrapText="1"/>
    </xf>
    <xf numFmtId="49" fontId="2" fillId="5" borderId="0" xfId="1" applyNumberFormat="1" applyFont="1" applyFill="1" applyBorder="1" applyAlignment="1">
      <alignment horizontal="left" wrapText="1"/>
    </xf>
    <xf numFmtId="166" fontId="18" fillId="5" borderId="0" xfId="1" applyNumberFormat="1" applyFont="1" applyFill="1" applyBorder="1" applyAlignment="1">
      <alignment horizontal="left" vertical="center"/>
    </xf>
    <xf numFmtId="166" fontId="18" fillId="5" borderId="4" xfId="1" applyNumberFormat="1" applyFont="1" applyFill="1" applyBorder="1" applyAlignment="1">
      <alignment horizontal="left" vertical="center"/>
    </xf>
    <xf numFmtId="49" fontId="18" fillId="5" borderId="0" xfId="1" quotePrefix="1" applyNumberFormat="1" applyFont="1" applyFill="1" applyBorder="1" applyAlignment="1">
      <alignment horizontal="left"/>
    </xf>
    <xf numFmtId="49" fontId="18" fillId="5" borderId="4" xfId="1" quotePrefix="1" applyNumberFormat="1" applyFont="1" applyFill="1" applyBorder="1" applyAlignment="1">
      <alignment horizontal="left"/>
    </xf>
    <xf numFmtId="49" fontId="2" fillId="5" borderId="3" xfId="1" applyNumberFormat="1" applyFont="1" applyFill="1" applyBorder="1" applyAlignment="1">
      <alignment horizontal="left" wrapText="1"/>
    </xf>
    <xf numFmtId="49" fontId="2" fillId="5" borderId="2" xfId="1" applyNumberFormat="1" applyFont="1" applyFill="1" applyBorder="1" applyAlignment="1">
      <alignment horizontal="left" wrapText="1"/>
    </xf>
    <xf numFmtId="49" fontId="22" fillId="0" borderId="20" xfId="1" applyNumberFormat="1" applyFont="1" applyFill="1" applyBorder="1" applyAlignment="1">
      <alignment horizontal="center" vertical="center"/>
    </xf>
    <xf numFmtId="49" fontId="22" fillId="0" borderId="19" xfId="1" applyNumberFormat="1" applyFont="1" applyFill="1" applyBorder="1" applyAlignment="1">
      <alignment horizontal="center" vertical="center"/>
    </xf>
    <xf numFmtId="49" fontId="22" fillId="0" borderId="18" xfId="1" applyNumberFormat="1" applyFont="1" applyFill="1" applyBorder="1" applyAlignment="1">
      <alignment horizontal="center" vertical="center"/>
    </xf>
    <xf numFmtId="49" fontId="22" fillId="0" borderId="10" xfId="1" applyNumberFormat="1" applyFont="1" applyFill="1" applyBorder="1" applyAlignment="1">
      <alignment horizontal="center" vertical="center" wrapText="1"/>
    </xf>
    <xf numFmtId="49" fontId="22" fillId="0" borderId="10" xfId="1" applyNumberFormat="1" applyFont="1" applyFill="1" applyBorder="1" applyAlignment="1">
      <alignment horizontal="center" vertical="center"/>
    </xf>
    <xf numFmtId="49" fontId="2" fillId="0" borderId="8" xfId="1" applyNumberFormat="1" applyFont="1" applyBorder="1" applyAlignment="1">
      <alignment horizontal="left"/>
    </xf>
    <xf numFmtId="49" fontId="2" fillId="0" borderId="7" xfId="1" applyNumberFormat="1" applyFont="1" applyBorder="1" applyAlignment="1">
      <alignment horizontal="left"/>
    </xf>
    <xf numFmtId="166" fontId="9" fillId="0" borderId="7" xfId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6" fillId="0" borderId="14" xfId="1" applyNumberFormat="1" applyFont="1" applyBorder="1" applyAlignment="1">
      <alignment horizontal="left" vertical="center" wrapText="1"/>
    </xf>
    <xf numFmtId="49" fontId="16" fillId="0" borderId="13" xfId="1" applyNumberFormat="1" applyFont="1" applyBorder="1" applyAlignment="1">
      <alignment horizontal="left" vertical="center" wrapText="1"/>
    </xf>
    <xf numFmtId="49" fontId="16" fillId="0" borderId="11" xfId="1" applyNumberFormat="1" applyFont="1" applyBorder="1" applyAlignment="1">
      <alignment horizontal="left" wrapText="1"/>
    </xf>
    <xf numFmtId="49" fontId="22" fillId="5" borderId="10" xfId="1" applyNumberFormat="1" applyFont="1" applyFill="1" applyBorder="1" applyAlignment="1">
      <alignment horizontal="center"/>
    </xf>
    <xf numFmtId="166" fontId="5" fillId="0" borderId="2" xfId="0" applyNumberFormat="1" applyFont="1" applyBorder="1" applyAlignment="1">
      <alignment horizontal="center" shrinkToFit="1"/>
    </xf>
    <xf numFmtId="0" fontId="2" fillId="0" borderId="2" xfId="0" applyFont="1" applyBorder="1" applyAlignment="1">
      <alignment horizontal="center"/>
    </xf>
    <xf numFmtId="49" fontId="9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left" wrapText="1"/>
    </xf>
    <xf numFmtId="166" fontId="3" fillId="3" borderId="0" xfId="1" quotePrefix="1" applyNumberFormat="1" applyFont="1" applyFill="1" applyBorder="1" applyAlignment="1">
      <alignment horizontal="left"/>
    </xf>
    <xf numFmtId="166" fontId="3" fillId="3" borderId="0" xfId="1" applyNumberFormat="1" applyFont="1" applyFill="1" applyBorder="1" applyAlignment="1">
      <alignment horizontal="left"/>
    </xf>
    <xf numFmtId="49" fontId="2" fillId="2" borderId="0" xfId="1" applyNumberFormat="1" applyFont="1" applyFill="1" applyBorder="1" applyAlignment="1">
      <alignment horizontal="left" wrapText="1"/>
    </xf>
    <xf numFmtId="49" fontId="9" fillId="0" borderId="20" xfId="1" applyNumberFormat="1" applyFont="1" applyFill="1" applyBorder="1" applyAlignment="1">
      <alignment horizontal="center" vertical="center"/>
    </xf>
    <xf numFmtId="49" fontId="9" fillId="0" borderId="19" xfId="1" applyNumberFormat="1" applyFont="1" applyFill="1" applyBorder="1" applyAlignment="1">
      <alignment horizontal="center" vertical="center"/>
    </xf>
    <xf numFmtId="49" fontId="9" fillId="0" borderId="18" xfId="1" applyNumberFormat="1" applyFont="1" applyFill="1" applyBorder="1" applyAlignment="1">
      <alignment horizontal="center" vertical="center"/>
    </xf>
    <xf numFmtId="49" fontId="9" fillId="0" borderId="10" xfId="1" applyNumberFormat="1" applyFont="1" applyFill="1" applyBorder="1" applyAlignment="1">
      <alignment horizontal="center" vertical="center" wrapText="1"/>
    </xf>
    <xf numFmtId="49" fontId="9" fillId="0" borderId="10" xfId="1" applyNumberFormat="1" applyFont="1" applyFill="1" applyBorder="1" applyAlignment="1">
      <alignment horizontal="center" vertical="center"/>
    </xf>
    <xf numFmtId="49" fontId="2" fillId="0" borderId="27" xfId="1" applyNumberFormat="1" applyFont="1" applyBorder="1" applyAlignment="1">
      <alignment horizontal="left" vertical="center" wrapText="1"/>
    </xf>
    <xf numFmtId="49" fontId="2" fillId="0" borderId="28" xfId="1" applyNumberFormat="1" applyFont="1" applyBorder="1" applyAlignment="1">
      <alignment horizontal="left" vertical="center" wrapText="1"/>
    </xf>
    <xf numFmtId="49" fontId="2" fillId="0" borderId="14" xfId="1" applyNumberFormat="1" applyFont="1" applyBorder="1" applyAlignment="1">
      <alignment horizontal="left" vertical="center" wrapText="1"/>
    </xf>
    <xf numFmtId="49" fontId="2" fillId="0" borderId="13" xfId="1" applyNumberFormat="1" applyFont="1" applyBorder="1" applyAlignment="1">
      <alignment horizontal="left" vertical="center" wrapText="1"/>
    </xf>
    <xf numFmtId="49" fontId="2" fillId="0" borderId="12" xfId="1" applyNumberFormat="1" applyFont="1" applyBorder="1" applyAlignment="1">
      <alignment horizontal="left" vertical="center" wrapText="1"/>
    </xf>
    <xf numFmtId="49" fontId="2" fillId="0" borderId="12" xfId="1" applyNumberFormat="1" applyFont="1" applyBorder="1" applyAlignment="1">
      <alignment horizontal="left" vertical="center"/>
    </xf>
    <xf numFmtId="166" fontId="2" fillId="0" borderId="22" xfId="1" applyNumberFormat="1" applyFont="1" applyBorder="1" applyAlignment="1">
      <alignment horizontal="left" wrapText="1"/>
    </xf>
    <xf numFmtId="166" fontId="4" fillId="0" borderId="22" xfId="1" applyNumberFormat="1" applyFont="1" applyBorder="1" applyAlignment="1">
      <alignment horizontal="left" wrapText="1"/>
    </xf>
    <xf numFmtId="166" fontId="4" fillId="0" borderId="21" xfId="1" applyNumberFormat="1" applyFont="1" applyBorder="1" applyAlignment="1">
      <alignment horizontal="left" vertical="top" wrapText="1"/>
    </xf>
    <xf numFmtId="166" fontId="2" fillId="0" borderId="21" xfId="1" applyNumberFormat="1" applyFont="1" applyBorder="1" applyAlignment="1">
      <alignment horizontal="left" vertical="top"/>
    </xf>
    <xf numFmtId="49" fontId="2" fillId="3" borderId="0" xfId="1" applyNumberFormat="1" applyFont="1" applyFill="1" applyBorder="1" applyAlignment="1">
      <alignment horizontal="left" wrapText="1"/>
    </xf>
    <xf numFmtId="166" fontId="3" fillId="3" borderId="0" xfId="1" applyNumberFormat="1" applyFont="1" applyFill="1" applyBorder="1" applyAlignment="1">
      <alignment horizontal="left" vertical="center"/>
    </xf>
    <xf numFmtId="49" fontId="9" fillId="0" borderId="21" xfId="1" applyNumberFormat="1" applyFont="1" applyBorder="1" applyAlignment="1">
      <alignment horizontal="center"/>
    </xf>
    <xf numFmtId="0" fontId="11" fillId="4" borderId="24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49" fontId="2" fillId="0" borderId="0" xfId="1" applyNumberFormat="1" applyFont="1" applyBorder="1" applyAlignment="1">
      <alignment horizontal="left" vertical="center" wrapText="1"/>
    </xf>
    <xf numFmtId="49" fontId="9" fillId="0" borderId="0" xfId="1" applyNumberFormat="1" applyFont="1" applyFill="1" applyBorder="1" applyAlignment="1">
      <alignment horizontal="left" vertical="center" wrapText="1"/>
    </xf>
    <xf numFmtId="49" fontId="14" fillId="4" borderId="20" xfId="0" applyNumberFormat="1" applyFont="1" applyFill="1" applyBorder="1" applyAlignment="1">
      <alignment horizontal="center" vertical="center" wrapText="1"/>
    </xf>
    <xf numFmtId="49" fontId="14" fillId="4" borderId="19" xfId="0" applyNumberFormat="1" applyFont="1" applyFill="1" applyBorder="1" applyAlignment="1">
      <alignment horizontal="center" vertical="center" wrapText="1"/>
    </xf>
    <xf numFmtId="166" fontId="2" fillId="0" borderId="22" xfId="1" applyNumberFormat="1" applyFont="1" applyFill="1" applyBorder="1" applyAlignment="1">
      <alignment horizontal="left" wrapText="1"/>
    </xf>
    <xf numFmtId="166" fontId="4" fillId="0" borderId="22" xfId="1" applyNumberFormat="1" applyFont="1" applyFill="1" applyBorder="1" applyAlignment="1">
      <alignment horizontal="left" wrapText="1"/>
    </xf>
    <xf numFmtId="166" fontId="4" fillId="0" borderId="21" xfId="1" applyNumberFormat="1" applyFont="1" applyFill="1" applyBorder="1" applyAlignment="1">
      <alignment horizontal="left" vertical="top" wrapText="1"/>
    </xf>
    <xf numFmtId="166" fontId="2" fillId="0" borderId="21" xfId="1" applyNumberFormat="1" applyFont="1" applyFill="1" applyBorder="1" applyAlignment="1">
      <alignment horizontal="left" vertical="top"/>
    </xf>
    <xf numFmtId="49" fontId="11" fillId="6" borderId="20" xfId="1" applyNumberFormat="1" applyFont="1" applyFill="1" applyBorder="1" applyAlignment="1">
      <alignment horizontal="center" vertical="center"/>
    </xf>
    <xf numFmtId="49" fontId="11" fillId="6" borderId="19" xfId="1" applyNumberFormat="1" applyFont="1" applyFill="1" applyBorder="1" applyAlignment="1">
      <alignment horizontal="center" vertical="center"/>
    </xf>
    <xf numFmtId="49" fontId="11" fillId="6" borderId="19" xfId="1" applyNumberFormat="1" applyFont="1" applyFill="1" applyBorder="1" applyAlignment="1">
      <alignment horizontal="left"/>
    </xf>
    <xf numFmtId="49" fontId="11" fillId="6" borderId="18" xfId="1" applyNumberFormat="1" applyFont="1" applyFill="1" applyBorder="1" applyAlignment="1">
      <alignment horizontal="left"/>
    </xf>
    <xf numFmtId="49" fontId="9" fillId="0" borderId="29" xfId="1" applyNumberFormat="1" applyFont="1" applyFill="1" applyBorder="1" applyAlignment="1">
      <alignment horizontal="center" vertical="center" wrapText="1"/>
    </xf>
    <xf numFmtId="49" fontId="9" fillId="0" borderId="8" xfId="1" applyNumberFormat="1" applyFont="1" applyFill="1" applyBorder="1" applyAlignment="1">
      <alignment horizontal="left" vertical="center" wrapText="1"/>
    </xf>
    <xf numFmtId="49" fontId="9" fillId="0" borderId="6" xfId="1" applyNumberFormat="1" applyFont="1" applyFill="1" applyBorder="1" applyAlignment="1">
      <alignment horizontal="left" vertical="center"/>
    </xf>
    <xf numFmtId="0" fontId="33" fillId="0" borderId="0" xfId="0" applyFont="1" applyAlignment="1">
      <alignment horizontal="left" vertical="center" wrapText="1"/>
    </xf>
    <xf numFmtId="49" fontId="14" fillId="4" borderId="30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166" fontId="12" fillId="3" borderId="8" xfId="4" applyNumberFormat="1" applyFont="1" applyFill="1" applyBorder="1"/>
    <xf numFmtId="166" fontId="2" fillId="3" borderId="7" xfId="4" applyNumberFormat="1" applyFont="1" applyFill="1" applyBorder="1"/>
    <xf numFmtId="166" fontId="2" fillId="3" borderId="6" xfId="4" applyNumberFormat="1" applyFont="1" applyFill="1" applyBorder="1"/>
    <xf numFmtId="49" fontId="2" fillId="3" borderId="5" xfId="4" applyNumberFormat="1" applyFont="1" applyFill="1" applyBorder="1" applyAlignment="1">
      <alignment horizontal="left" wrapText="1"/>
    </xf>
    <xf numFmtId="49" fontId="2" fillId="3" borderId="0" xfId="4" applyNumberFormat="1" applyFont="1" applyFill="1" applyBorder="1" applyAlignment="1">
      <alignment horizontal="left" wrapText="1"/>
    </xf>
    <xf numFmtId="166" fontId="18" fillId="3" borderId="0" xfId="4" applyNumberFormat="1" applyFont="1" applyFill="1" applyBorder="1" applyAlignment="1">
      <alignment horizontal="left" vertical="center" wrapText="1"/>
    </xf>
    <xf numFmtId="166" fontId="18" fillId="3" borderId="4" xfId="4" applyNumberFormat="1" applyFont="1" applyFill="1" applyBorder="1" applyAlignment="1">
      <alignment horizontal="left" vertical="center" wrapText="1"/>
    </xf>
    <xf numFmtId="49" fontId="2" fillId="3" borderId="5" xfId="4" applyNumberFormat="1" applyFont="1" applyFill="1" applyBorder="1"/>
    <xf numFmtId="49" fontId="2" fillId="3" borderId="0" xfId="4" applyNumberFormat="1" applyFont="1" applyFill="1" applyBorder="1"/>
    <xf numFmtId="49" fontId="18" fillId="3" borderId="0" xfId="4" quotePrefix="1" applyNumberFormat="1" applyFont="1" applyFill="1" applyBorder="1" applyAlignment="1">
      <alignment horizontal="left"/>
    </xf>
    <xf numFmtId="49" fontId="18" fillId="3" borderId="4" xfId="4" quotePrefix="1" applyNumberFormat="1" applyFont="1" applyFill="1" applyBorder="1" applyAlignment="1">
      <alignment horizontal="left"/>
    </xf>
    <xf numFmtId="166" fontId="18" fillId="3" borderId="0" xfId="4" applyNumberFormat="1" applyFont="1" applyFill="1" applyBorder="1" applyAlignment="1">
      <alignment horizontal="left" vertical="center"/>
    </xf>
    <xf numFmtId="166" fontId="18" fillId="3" borderId="4" xfId="4" applyNumberFormat="1" applyFont="1" applyFill="1" applyBorder="1" applyAlignment="1">
      <alignment horizontal="left" vertical="center"/>
    </xf>
    <xf numFmtId="166" fontId="11" fillId="3" borderId="0" xfId="4" applyNumberFormat="1" applyFont="1" applyFill="1" applyBorder="1" applyAlignment="1">
      <alignment horizontal="left" vertical="center"/>
    </xf>
    <xf numFmtId="166" fontId="11" fillId="3" borderId="4" xfId="4" applyNumberFormat="1" applyFont="1" applyFill="1" applyBorder="1" applyAlignment="1">
      <alignment horizontal="left" vertical="center"/>
    </xf>
    <xf numFmtId="49" fontId="2" fillId="3" borderId="3" xfId="4" applyNumberFormat="1" applyFont="1" applyFill="1" applyBorder="1" applyAlignment="1">
      <alignment horizontal="left" wrapText="1"/>
    </xf>
    <xf numFmtId="49" fontId="2" fillId="3" borderId="2" xfId="4" applyNumberFormat="1" applyFont="1" applyFill="1" applyBorder="1" applyAlignment="1">
      <alignment horizontal="left" wrapText="1"/>
    </xf>
    <xf numFmtId="49" fontId="17" fillId="3" borderId="2" xfId="4" applyNumberFormat="1" applyFont="1" applyFill="1" applyBorder="1" applyAlignment="1"/>
    <xf numFmtId="14" fontId="32" fillId="3" borderId="0" xfId="0" applyNumberFormat="1" applyFont="1" applyFill="1"/>
    <xf numFmtId="166" fontId="2" fillId="3" borderId="2" xfId="4" applyNumberFormat="1" applyFont="1" applyFill="1" applyBorder="1" applyAlignment="1"/>
    <xf numFmtId="0" fontId="3" fillId="3" borderId="2" xfId="5" applyFont="1" applyFill="1" applyBorder="1"/>
  </cellXfs>
  <cellStyles count="7">
    <cellStyle name="Comma" xfId="1" builtinId="3"/>
    <cellStyle name="Comma [0]" xfId="6" builtinId="6"/>
    <cellStyle name="Comma 2" xfId="3" xr:uid="{D35540F1-3C42-48C7-A096-E6269B86C3E2}"/>
    <cellStyle name="Comma 2 2" xfId="4" xr:uid="{3CB230EE-4F41-45D5-95D3-8D2E8BA7EAD4}"/>
    <cellStyle name="Normal" xfId="0" builtinId="0"/>
    <cellStyle name="Normal 2" xfId="5" xr:uid="{F4586BD3-2C73-4EC8-B977-4F61574D9BD0}"/>
    <cellStyle name="Normal 2 13" xfId="2" xr:uid="{00000000-0005-0000-0000-000002000000}"/>
  </cellStyles>
  <dxfs count="0"/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9" Type="http://schemas.openxmlformats.org/officeDocument/2006/relationships/sheetMetadata" Target="metadata.xml"/></Relationships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1422400</xdr:colOff>
          <xdr:row>3</xdr:row>
          <xdr:rowOff>330200</xdr:rowOff>
        </xdr:from>
        <xdr:to>
          <xdr:col>2</xdr:col>
          <xdr:colOff>1895475</xdr:colOff>
          <xdr:row>6</xdr:row>
          <xdr:rowOff>85725</xdr:rowOff>
        </xdr:to>
        <xdr:sp macro="" textlink="">
          <xdr:nvSpPr>
            <xdr:cNvPr id="22529" name="Check Box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02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774700</xdr:colOff>
          <xdr:row>3</xdr:row>
          <xdr:rowOff>342900</xdr:rowOff>
        </xdr:from>
        <xdr:to>
          <xdr:col>7</xdr:col>
          <xdr:colOff>180975</xdr:colOff>
          <xdr:row>6</xdr:row>
          <xdr:rowOff>28575</xdr:rowOff>
        </xdr:to>
        <xdr:sp macro="" textlink="">
          <xdr:nvSpPr>
            <xdr:cNvPr id="22530" name="Check Box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02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2</xdr:col>
      <xdr:colOff>7620</xdr:colOff>
      <xdr:row>1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9DC91F-3F57-44F8-9F61-5956FA903A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50872" b="-6110"/>
        <a:stretch>
          <a:fillRect/>
        </a:stretch>
      </xdr:blipFill>
      <xdr:spPr>
        <a:xfrm>
          <a:off x="0" y="0"/>
          <a:ext cx="2956560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7FB1A-A121-44EA-B08C-FB34833E89FD}">
  <sheetPr codeName="Sheet4">
    <pageSetUpPr fitToPage="1"/>
  </sheetPr>
  <dimension ref="A1:H33"/>
  <sheetViews>
    <sheetView tabSelected="1" zoomScale="100" zoomScaleNormal="100" workbookViewId="0">
      <selection activeCell="A1" sqref="A1"/>
    </sheetView>
  </sheetViews>
  <sheetFormatPr defaultColWidth="9.1796875" defaultRowHeight="16.5"/>
  <cols>
    <col min="1" max="1" width="17.08984375" style="86" customWidth="1"/>
    <col min="2" max="2" width="21.6328125" style="86" customWidth="1"/>
    <col min="3" max="3" width="31.26953125" style="86" customWidth="1"/>
    <col min="4" max="4" width="12.36328125" style="87" customWidth="1"/>
    <col min="5" max="5" width="12" style="77" customWidth="1"/>
    <col min="6" max="6" width="11" style="77" customWidth="1"/>
    <col min="7" max="7" width="15" style="77" customWidth="1"/>
    <col min="8" max="8" width="9.1796875" style="77"/>
    <col min="9" max="9" width="10.6328125" style="77" bestFit="1" customWidth="1"/>
    <col min="10" max="11" width="9.1796875" style="77"/>
    <col min="12" max="12" width="15" style="77" bestFit="1" customWidth="1"/>
    <col min="13" max="16384" width="9.1796875" style="77"/>
  </cols>
  <sheetData>
    <row r="1" spans="1:7" s="39" customFormat="1" ht="60.75" customHeight="1">
      <c r="A1" s="198"/>
      <c r="B1" s="199"/>
      <c r="C1" s="202" t="s">
        <v>131</v>
      </c>
      <c r="D1" s="203"/>
      <c r="E1" s="203"/>
      <c r="F1" s="143" t="s">
        <v>148</v>
      </c>
      <c r="G1" s="144"/>
    </row>
    <row r="2" spans="1:7" s="30" customFormat="1" ht="15.5">
      <c r="A2" s="145" t="s">
        <v>55</v>
      </c>
      <c r="B2" s="145"/>
      <c r="C2" s="127" t="s">
        <v>145</v>
      </c>
      <c r="D2" s="128"/>
      <c r="E2" s="128"/>
      <c r="F2" s="128"/>
      <c r="G2" s="128"/>
    </row>
    <row r="3" spans="1:7" s="30" customFormat="1" ht="15.65" customHeight="1">
      <c r="A3" s="145" t="s">
        <v>56</v>
      </c>
      <c r="B3" s="145"/>
      <c r="C3" s="127" t="s">
        <v>137</v>
      </c>
      <c r="D3" s="129"/>
      <c r="E3" s="129"/>
      <c r="F3" s="129"/>
      <c r="G3" s="129"/>
    </row>
    <row r="4" spans="1:7" s="124" customFormat="1" ht="30" customHeight="1">
      <c r="A4" s="200" t="s">
        <v>28</v>
      </c>
      <c r="B4" s="200"/>
      <c r="C4" s="201" t="s">
        <v>139</v>
      </c>
      <c r="D4" s="201"/>
      <c r="E4" s="201"/>
      <c r="F4" s="201"/>
      <c r="G4" s="201"/>
    </row>
    <row r="5" spans="1:7" s="30" customFormat="1" ht="39.65" customHeight="1">
      <c r="A5" s="145" t="s">
        <v>27</v>
      </c>
      <c r="B5" s="145"/>
      <c r="C5" s="68" t="s">
        <v>63</v>
      </c>
      <c r="D5" s="68"/>
      <c r="E5" s="68"/>
      <c r="F5" s="56"/>
      <c r="G5" s="7"/>
    </row>
    <row r="6" spans="1:7" s="30" customFormat="1" ht="15.5">
      <c r="A6" s="145" t="s">
        <v>24</v>
      </c>
      <c r="B6" s="145"/>
      <c r="C6" s="130">
        <f>G20</f>
        <v>1000000</v>
      </c>
      <c r="D6" s="131" t="s">
        <v>32</v>
      </c>
      <c r="E6" s="130"/>
      <c r="F6" s="130"/>
      <c r="G6" s="130"/>
    </row>
    <row r="7" spans="1:7" s="30" customFormat="1" ht="15.5">
      <c r="A7" s="35" t="s">
        <v>23</v>
      </c>
      <c r="B7" s="34"/>
      <c r="C7" s="204" t="str" cm="1">
        <f t="array" ref="C7">texta(G20)</f>
        <v>Một triệu đồng</v>
      </c>
      <c r="D7" s="205"/>
      <c r="E7" s="205"/>
      <c r="F7" s="205"/>
      <c r="G7" s="205"/>
    </row>
    <row r="8" spans="1:7" s="30" customFormat="1" ht="15.5">
      <c r="A8" s="34"/>
      <c r="B8" s="34"/>
      <c r="C8" s="206" t="str" cm="1">
        <f t="array" ref="C8">Textb(G20)</f>
        <v>One million VND</v>
      </c>
      <c r="D8" s="207"/>
      <c r="E8" s="207"/>
      <c r="F8" s="207"/>
      <c r="G8" s="207"/>
    </row>
    <row r="9" spans="1:7" s="30" customFormat="1" ht="15.5">
      <c r="A9" s="218" t="s">
        <v>22</v>
      </c>
      <c r="B9" s="219"/>
      <c r="C9" s="219"/>
      <c r="D9" s="219"/>
      <c r="E9" s="219"/>
      <c r="F9" s="219"/>
      <c r="G9" s="220"/>
    </row>
    <row r="10" spans="1:7" s="30" customFormat="1" ht="15.65" customHeight="1">
      <c r="A10" s="221" t="s">
        <v>21</v>
      </c>
      <c r="B10" s="222"/>
      <c r="C10" s="223" t="s">
        <v>132</v>
      </c>
      <c r="D10" s="223"/>
      <c r="E10" s="223"/>
      <c r="F10" s="223"/>
      <c r="G10" s="224"/>
    </row>
    <row r="11" spans="1:7" s="30" customFormat="1" ht="15.5">
      <c r="A11" s="225" t="s">
        <v>20</v>
      </c>
      <c r="B11" s="226"/>
      <c r="C11" s="227" t="s">
        <v>133</v>
      </c>
      <c r="D11" s="227"/>
      <c r="E11" s="227"/>
      <c r="F11" s="227"/>
      <c r="G11" s="228"/>
    </row>
    <row r="12" spans="1:7" s="30" customFormat="1" ht="15.5">
      <c r="A12" s="225" t="s">
        <v>19</v>
      </c>
      <c r="B12" s="226"/>
      <c r="C12" s="229" t="s">
        <v>134</v>
      </c>
      <c r="D12" s="229"/>
      <c r="E12" s="229"/>
      <c r="F12" s="229"/>
      <c r="G12" s="230"/>
    </row>
    <row r="13" spans="1:7" s="30" customFormat="1" ht="15.5">
      <c r="A13" s="225" t="s">
        <v>46</v>
      </c>
      <c r="B13" s="226"/>
      <c r="C13" s="231"/>
      <c r="D13" s="231"/>
      <c r="E13" s="231"/>
      <c r="F13" s="231"/>
      <c r="G13" s="232"/>
    </row>
    <row r="14" spans="1:7" s="27" customFormat="1" ht="27" customHeight="1">
      <c r="A14" s="233" t="s">
        <v>47</v>
      </c>
      <c r="B14" s="234"/>
      <c r="C14" s="235" t="s">
        <v>135</v>
      </c>
      <c r="D14" s="236">
        <v>46274</v>
      </c>
      <c r="E14" s="237" t="s">
        <v>136</v>
      </c>
      <c r="F14" s="238"/>
      <c r="G14" s="236">
        <v>46275</v>
      </c>
    </row>
    <row r="15" spans="1:7" s="72" customFormat="1" ht="19.5" customHeight="1">
      <c r="A15" s="69"/>
      <c r="B15" s="70"/>
      <c r="C15" s="70"/>
      <c r="D15" s="70"/>
      <c r="E15" s="71"/>
      <c r="F15" s="70"/>
    </row>
    <row r="16" spans="1:7" s="2" customFormat="1" ht="18" customHeight="1">
      <c r="A16" s="210"/>
      <c r="B16" s="210"/>
      <c r="C16" s="210"/>
      <c r="D16" s="210"/>
      <c r="E16" s="210"/>
      <c r="F16" s="210"/>
      <c r="G16" s="211"/>
    </row>
    <row r="17" spans="1:8" s="18" customFormat="1" ht="23.4" customHeight="1">
      <c r="A17" s="184" t="s">
        <v>18</v>
      </c>
      <c r="B17" s="184"/>
      <c r="C17" s="184"/>
      <c r="D17" s="184"/>
      <c r="E17" s="183" t="s">
        <v>64</v>
      </c>
      <c r="F17" s="183" t="s">
        <v>65</v>
      </c>
      <c r="G17" s="183" t="s">
        <v>66</v>
      </c>
      <c r="H17" s="23"/>
    </row>
    <row r="18" spans="1:8" s="73" customFormat="1" ht="21.65" customHeight="1">
      <c r="A18" s="26" t="s">
        <v>15</v>
      </c>
      <c r="B18" s="184" t="s">
        <v>60</v>
      </c>
      <c r="C18" s="184"/>
      <c r="D18" s="132" t="s">
        <v>13</v>
      </c>
      <c r="E18" s="212"/>
      <c r="F18" s="212"/>
      <c r="G18" s="183"/>
    </row>
    <row r="19" spans="1:8" s="73" customFormat="1" ht="31.75" customHeight="1">
      <c r="A19" s="133" t="s">
        <v>146</v>
      </c>
      <c r="B19" s="213" t="s">
        <v>144</v>
      </c>
      <c r="C19" s="214"/>
      <c r="D19" s="135" t="s">
        <v>147</v>
      </c>
      <c r="E19" s="137">
        <v>925926</v>
      </c>
      <c r="F19" s="137">
        <v>74074</v>
      </c>
      <c r="G19" s="136">
        <f>E19+F19</f>
        <v>1000000</v>
      </c>
    </row>
    <row r="20" spans="1:8" s="72" customFormat="1" ht="28.25" customHeight="1">
      <c r="A20" s="208" t="s">
        <v>67</v>
      </c>
      <c r="B20" s="209"/>
      <c r="C20" s="209"/>
      <c r="D20" s="209"/>
      <c r="E20" s="209"/>
      <c r="F20" s="209"/>
      <c r="G20" s="125">
        <f>G19</f>
        <v>1000000</v>
      </c>
    </row>
    <row r="21" spans="1:8" s="15" customFormat="1" ht="14">
      <c r="A21" s="17" t="s">
        <v>8</v>
      </c>
      <c r="B21" s="17" t="s">
        <v>49</v>
      </c>
      <c r="C21" s="17" t="s">
        <v>7</v>
      </c>
      <c r="D21" s="166" t="s">
        <v>140</v>
      </c>
      <c r="E21" s="166"/>
      <c r="F21" s="166"/>
      <c r="G21" s="166"/>
    </row>
    <row r="22" spans="1:8" s="11" customFormat="1" ht="14">
      <c r="A22" s="15" t="s">
        <v>5</v>
      </c>
      <c r="B22" s="15" t="s">
        <v>50</v>
      </c>
      <c r="C22" s="15" t="s">
        <v>4</v>
      </c>
      <c r="D22" s="167" t="s">
        <v>141</v>
      </c>
      <c r="E22" s="167"/>
      <c r="F22" s="167"/>
      <c r="G22" s="167"/>
    </row>
    <row r="23" spans="1:8" s="11" customFormat="1" ht="14">
      <c r="A23" s="1"/>
      <c r="B23" s="1"/>
      <c r="C23" s="1"/>
      <c r="D23" s="1"/>
      <c r="E23" s="1"/>
      <c r="F23" s="1"/>
      <c r="G23" s="1"/>
    </row>
    <row r="24" spans="1:8" s="11" customFormat="1" ht="14">
      <c r="A24" s="1"/>
      <c r="B24" s="1"/>
      <c r="C24" s="1"/>
      <c r="D24" s="1"/>
      <c r="E24" s="1"/>
      <c r="F24" s="1"/>
      <c r="G24" s="1"/>
    </row>
    <row r="25" spans="1:8" s="67" customFormat="1" ht="14">
      <c r="A25" s="1"/>
      <c r="B25" s="1"/>
      <c r="C25" s="1"/>
      <c r="D25" s="1"/>
      <c r="E25" s="1"/>
      <c r="F25" s="1"/>
      <c r="G25" s="1"/>
    </row>
    <row r="26" spans="1:8" s="11" customFormat="1" ht="14">
      <c r="A26" s="1"/>
      <c r="B26" s="1"/>
      <c r="C26" s="1"/>
      <c r="D26" s="1"/>
      <c r="E26" s="1"/>
      <c r="F26" s="1"/>
      <c r="G26" s="1"/>
    </row>
    <row r="27" spans="1:8" s="11" customFormat="1" ht="14">
      <c r="A27" s="1"/>
      <c r="B27" s="1"/>
      <c r="C27" s="1"/>
      <c r="D27" s="1"/>
      <c r="E27" s="1"/>
      <c r="F27" s="1"/>
      <c r="G27" s="1"/>
    </row>
    <row r="28" spans="1:8" s="11" customFormat="1" ht="14">
      <c r="A28" s="134" t="s">
        <v>143</v>
      </c>
      <c r="B28" s="126" t="s">
        <v>138</v>
      </c>
      <c r="C28" s="13"/>
      <c r="D28" s="168" t="s">
        <v>142</v>
      </c>
      <c r="E28" s="168"/>
      <c r="F28" s="168"/>
      <c r="G28" s="168"/>
    </row>
    <row r="29" spans="1:8" s="11" customFormat="1" ht="14">
      <c r="A29" s="12" t="s">
        <v>3</v>
      </c>
      <c r="B29" s="12" t="s">
        <v>3</v>
      </c>
      <c r="C29" s="12" t="s">
        <v>3</v>
      </c>
      <c r="D29" s="173" t="s">
        <v>3</v>
      </c>
      <c r="E29" s="173"/>
      <c r="F29" s="174"/>
      <c r="G29" s="174"/>
    </row>
    <row r="30" spans="1:8" ht="20.25" customHeight="1">
      <c r="A30" s="74" t="s">
        <v>68</v>
      </c>
      <c r="B30" s="75"/>
      <c r="C30" s="75"/>
      <c r="D30" s="75"/>
      <c r="E30" s="75"/>
      <c r="F30" s="75"/>
      <c r="G30" s="76"/>
    </row>
    <row r="31" spans="1:8" ht="12.75" customHeight="1">
      <c r="A31" s="78"/>
      <c r="B31" s="79"/>
      <c r="C31" s="79"/>
      <c r="D31" s="79"/>
      <c r="E31" s="79"/>
      <c r="F31" s="79"/>
      <c r="G31" s="80"/>
    </row>
    <row r="32" spans="1:8" ht="16.5" customHeight="1">
      <c r="A32" s="78"/>
      <c r="B32" s="79"/>
      <c r="C32" s="79"/>
      <c r="D32" s="79"/>
      <c r="E32" s="79"/>
      <c r="F32" s="79"/>
      <c r="G32" s="80"/>
    </row>
    <row r="33" spans="1:7">
      <c r="A33" s="81"/>
      <c r="B33" s="82"/>
      <c r="C33" s="82"/>
      <c r="D33" s="83"/>
      <c r="E33" s="84"/>
      <c r="F33" s="84"/>
      <c r="G33" s="85"/>
    </row>
  </sheetData>
  <mergeCells count="32">
    <mergeCell ref="D22:E22"/>
    <mergeCell ref="F22:G22"/>
    <mergeCell ref="D28:E28"/>
    <mergeCell ref="F28:G28"/>
    <mergeCell ref="D29:E29"/>
    <mergeCell ref="F29:G29"/>
    <mergeCell ref="D21:E21"/>
    <mergeCell ref="F21:G21"/>
    <mergeCell ref="A20:F20"/>
    <mergeCell ref="A16:G16"/>
    <mergeCell ref="A17:D17"/>
    <mergeCell ref="E17:E18"/>
    <mergeCell ref="F17:F18"/>
    <mergeCell ref="G17:G18"/>
    <mergeCell ref="B18:C18"/>
    <mergeCell ref="B19:C19"/>
    <mergeCell ref="C11:G11"/>
    <mergeCell ref="C12:G12"/>
    <mergeCell ref="A14:B14"/>
    <mergeCell ref="A5:B5"/>
    <mergeCell ref="A6:B6"/>
    <mergeCell ref="C7:G7"/>
    <mergeCell ref="C8:G8"/>
    <mergeCell ref="A10:B10"/>
    <mergeCell ref="C10:G10"/>
    <mergeCell ref="A4:B4"/>
    <mergeCell ref="C4:G4"/>
    <mergeCell ref="A1:B1"/>
    <mergeCell ref="C1:E1"/>
    <mergeCell ref="F1:G1"/>
    <mergeCell ref="A2:B2"/>
    <mergeCell ref="A3:B3"/>
  </mergeCells>
  <phoneticPr fontId="36" type="noConversion"/>
  <pageMargins left="0.46" right="0.17" top="0.75" bottom="0.75" header="0.3" footer="0.3"/>
  <pageSetup paperSize="9" scale="75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4" name="Check Box 1">
              <controlPr defaultSize="0" autoFill="0" autoLine="0" autoPict="0">
                <anchor moveWithCells="1">
                  <from>
                    <xdr:col>2</xdr:col>
                    <xdr:colOff>1422400</xdr:colOff>
                    <xdr:row>3</xdr:row>
                    <xdr:rowOff>330200</xdr:rowOff>
                  </from>
                  <to>
                    <xdr:col>2</xdr:col>
                    <xdr:colOff>1898650</xdr:colOff>
                    <xdr:row>6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5" name="Check Box 2">
              <controlPr defaultSize="0" autoFill="0" autoLine="0" autoPict="0">
                <anchor moveWithCells="1">
                  <from>
                    <xdr:col>6</xdr:col>
                    <xdr:colOff>774700</xdr:colOff>
                    <xdr:row>3</xdr:row>
                    <xdr:rowOff>342900</xdr:rowOff>
                  </from>
                  <to>
                    <xdr:col>7</xdr:col>
                    <xdr:colOff>177800</xdr:colOff>
                    <xdr:row>6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</dc:creator>
  <cp:lastModifiedBy>Administrator</cp:lastModifiedBy>
  <cp:lastPrinted>2026-09-10T08:04:18Z</cp:lastPrinted>
  <dcterms:created xsi:type="dcterms:W3CDTF">2021-10-31T09:25:40Z</dcterms:created>
  <dcterms:modified xsi:type="dcterms:W3CDTF">2026-09-10T08:25:04Z</dcterms:modified>
</cp:coreProperties>
</file>